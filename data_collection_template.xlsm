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My Documents\05_Use case\Template\"/>
    </mc:Choice>
  </mc:AlternateContent>
  <xr:revisionPtr revIDLastSave="0" documentId="8_{16B2DFE8-2888-4207-AABD-E5F36F38AEB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General data" sheetId="4" r:id="rId1"/>
    <sheet name="Process" sheetId="7" r:id="rId2"/>
    <sheet name="MFA&amp;Material_quality_Template" sheetId="12" r:id="rId3"/>
    <sheet name="Material_Table" sheetId="9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5" i="7" l="1"/>
  <c r="T25" i="7"/>
  <c r="T26" i="7"/>
  <c r="T27" i="7"/>
  <c r="T28" i="7"/>
  <c r="T29" i="7"/>
  <c r="T17" i="7"/>
  <c r="T18" i="7"/>
  <c r="T19" i="7"/>
  <c r="T20" i="7"/>
  <c r="T21" i="7"/>
  <c r="T22" i="7"/>
  <c r="T23" i="7"/>
  <c r="T24" i="7"/>
  <c r="Q19" i="7"/>
  <c r="Q20" i="7"/>
  <c r="Q21" i="7"/>
  <c r="Q22" i="7"/>
  <c r="Q23" i="7"/>
  <c r="Q24" i="7"/>
  <c r="Q25" i="7"/>
  <c r="Q26" i="7"/>
  <c r="Q27" i="7"/>
  <c r="Q28" i="7"/>
  <c r="Q29" i="7"/>
  <c r="O28" i="7"/>
  <c r="O29" i="7"/>
  <c r="O27" i="7"/>
  <c r="O17" i="7"/>
  <c r="O18" i="7"/>
  <c r="Q18" i="7"/>
  <c r="O19" i="7"/>
  <c r="O20" i="7"/>
  <c r="O21" i="7"/>
  <c r="O22" i="7"/>
  <c r="O23" i="7"/>
  <c r="O24" i="7"/>
  <c r="O25" i="7"/>
  <c r="O26" i="7"/>
  <c r="O81" i="7"/>
  <c r="Q81" i="7"/>
  <c r="T81" i="7"/>
  <c r="O82" i="7"/>
  <c r="Q82" i="7"/>
  <c r="T82" i="7"/>
  <c r="O83" i="7"/>
  <c r="Q83" i="7"/>
  <c r="T83" i="7"/>
  <c r="O84" i="7"/>
  <c r="Q84" i="7"/>
  <c r="T84" i="7"/>
  <c r="O85" i="7"/>
  <c r="Q85" i="7"/>
  <c r="T85" i="7"/>
  <c r="O86" i="7"/>
  <c r="Q86" i="7"/>
  <c r="T86" i="7"/>
  <c r="O87" i="7"/>
  <c r="Q87" i="7"/>
  <c r="T87" i="7"/>
  <c r="O88" i="7"/>
  <c r="Q88" i="7"/>
  <c r="T88" i="7"/>
  <c r="O89" i="7"/>
  <c r="Q89" i="7"/>
  <c r="T89" i="7"/>
  <c r="O90" i="7"/>
  <c r="Q90" i="7"/>
  <c r="T90" i="7"/>
  <c r="O91" i="7"/>
  <c r="Q91" i="7"/>
  <c r="T91" i="7"/>
  <c r="T80" i="7"/>
  <c r="T79" i="7"/>
  <c r="T15" i="7"/>
  <c r="Q80" i="7"/>
  <c r="Q79" i="7"/>
  <c r="T16" i="7"/>
  <c r="Q15" i="7"/>
  <c r="Q16" i="7"/>
  <c r="O80" i="7"/>
  <c r="O79" i="7"/>
  <c r="O16" i="7"/>
  <c r="T76" i="7"/>
  <c r="S76" i="7"/>
  <c r="Q76" i="7"/>
  <c r="P76" i="7"/>
  <c r="T12" i="7"/>
  <c r="S12" i="7"/>
  <c r="Q12" i="7"/>
  <c r="P1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Truetsch, Ben</author>
    <author>Mack, Theresa</author>
  </authors>
  <commentList>
    <comment ref="A15" authorId="0" shapeId="0" xr:uid="{78F0BF87-B947-4F8D-BDAF-E94FA85D0839}">
      <text>
        <r>
          <rPr>
            <b/>
            <sz val="9"/>
            <color indexed="81"/>
            <rFont val="Segoe UI"/>
            <family val="2"/>
          </rPr>
          <t xml:space="preserve">Educts, aid, </t>
        </r>
      </text>
    </comment>
    <comment ref="A19" authorId="0" shapeId="0" xr:uid="{BE673757-DEDD-442B-B32F-D86884A2F97E}">
      <text>
        <r>
          <rPr>
            <b/>
            <sz val="9"/>
            <color indexed="81"/>
            <rFont val="Segoe UI"/>
            <family val="2"/>
          </rPr>
          <t xml:space="preserve">Energy(electricity, gas, thermal) consumed in one iteration, </t>
        </r>
      </text>
    </comment>
    <comment ref="A22" authorId="0" shapeId="0" xr:uid="{A98E5D45-9CDF-45C1-ABBE-63A0E0FCB37E}">
      <text>
        <r>
          <rPr>
            <b/>
            <sz val="9"/>
            <color indexed="81"/>
            <rFont val="Segoe UI"/>
            <family val="2"/>
          </rPr>
          <t>Personell needed for one iteration in ph</t>
        </r>
      </text>
    </comment>
    <comment ref="A51" authorId="1" shapeId="0" xr:uid="{CFD86492-AD67-4F32-A83B-5FC83D121CC1}">
      <text>
        <r>
          <rPr>
            <sz val="11"/>
            <color theme="1"/>
            <rFont val="Calibri"/>
            <family val="2"/>
            <scheme val="minor"/>
          </rPr>
          <t>Pressure, Temperature, Temperature curve, retention period, type of reactor, space needed, ...</t>
        </r>
      </text>
    </comment>
    <comment ref="B57" authorId="1" shapeId="0" xr:uid="{CEEEBA99-E37D-4561-9817-86BA9CE671FD}">
      <text>
        <r>
          <rPr>
            <b/>
            <sz val="9"/>
            <color indexed="81"/>
            <rFont val="Segoe UI"/>
            <family val="2"/>
          </rPr>
          <t>Mack, Theresa
inkl. Aller Schichten</t>
        </r>
      </text>
    </comment>
    <comment ref="A79" authorId="1" shapeId="0" xr:uid="{B8D553D0-93F4-4F50-991D-6D0B7399D937}">
      <text>
        <r>
          <rPr>
            <b/>
            <sz val="9"/>
            <color indexed="81"/>
            <rFont val="Segoe UI"/>
            <family val="2"/>
          </rPr>
          <t>Mack, Theresa:</t>
        </r>
        <r>
          <rPr>
            <sz val="9"/>
            <color indexed="81"/>
            <rFont val="Segoe UI"/>
            <family val="2"/>
          </rPr>
          <t xml:space="preserve">
geldwerte/wiedereinsetzbare Produkte bzw. Nebenprodukte</t>
        </r>
      </text>
    </comment>
    <comment ref="A83" authorId="1" shapeId="0" xr:uid="{C9D152EA-04AE-4FB3-BB52-478929133474}">
      <text>
        <r>
          <rPr>
            <sz val="9"/>
            <color indexed="81"/>
            <rFont val="Segoe UI"/>
            <family val="2"/>
          </rPr>
          <t>Welcher Abfallkategorie gehört der Abfallstrom an?
Material mit Qualität/Verunreinigungen, vorgesehen für Ladnfill/Aufarbeitung/thermische Verwertung.</t>
        </r>
      </text>
    </comment>
    <comment ref="A86" authorId="0" shapeId="0" xr:uid="{A114E413-A814-4E51-8726-A3C276F2C34C}">
      <text>
        <r>
          <rPr>
            <b/>
            <sz val="9"/>
            <color indexed="81"/>
            <rFont val="Segoe UI"/>
            <family val="2"/>
          </rPr>
          <t>For Example CO2, Nox, Sox, ...</t>
        </r>
      </text>
    </comment>
    <comment ref="A89" authorId="0" shapeId="0" xr:uid="{26E5DC9A-2FE9-40B2-B07E-13769EE9F2A9}">
      <text>
        <r>
          <rPr>
            <b/>
            <sz val="9"/>
            <color indexed="81"/>
            <rFont val="Segoe UI"/>
            <family val="2"/>
          </rPr>
          <t xml:space="preserve">Heat Loss(might be usefull later on), </t>
        </r>
      </text>
    </comment>
  </commentList>
</comments>
</file>

<file path=xl/sharedStrings.xml><?xml version="1.0" encoding="utf-8"?>
<sst xmlns="http://schemas.openxmlformats.org/spreadsheetml/2006/main" count="665" uniqueCount="469">
  <si>
    <t>Data collection</t>
  </si>
  <si>
    <t>PARTNER</t>
  </si>
  <si>
    <t>Contact person</t>
  </si>
  <si>
    <t>Mar Daniel</t>
  </si>
  <si>
    <t>E-Mail:</t>
  </si>
  <si>
    <t>Phone:</t>
  </si>
  <si>
    <t>Untersuchungsparameter</t>
  </si>
  <si>
    <t>Functional unit</t>
  </si>
  <si>
    <t>Date of compilation</t>
  </si>
  <si>
    <t>10.12.2024</t>
  </si>
  <si>
    <t>Datenbank Information</t>
  </si>
  <si>
    <t>Background Database</t>
  </si>
  <si>
    <t>ecoinvent v3.8 cutoff</t>
  </si>
  <si>
    <t>Database for this process</t>
  </si>
  <si>
    <t>IWKS W4F Project</t>
  </si>
  <si>
    <t>The inputs, outputs and technology-related parameters are determined for each process (see process diagram).</t>
  </si>
  <si>
    <t>General process data</t>
  </si>
  <si>
    <t>Enter a general explanation of the process here</t>
  </si>
  <si>
    <t>The reference flow is a selected flow to which all other values refer (unless otherwise specified)</t>
  </si>
  <si>
    <t>Process description</t>
  </si>
  <si>
    <t>Input/Output: all values refer to the reference flow</t>
  </si>
  <si>
    <r>
      <t>Specify process properties numerically in the</t>
    </r>
    <r>
      <rPr>
        <b/>
        <sz val="11"/>
        <color theme="1"/>
        <rFont val="Calibri"/>
        <family val="2"/>
        <scheme val="minor"/>
      </rPr>
      <t xml:space="preserve"> Value</t>
    </r>
    <r>
      <rPr>
        <sz val="11"/>
        <color theme="1"/>
        <rFont val="Calibri"/>
        <family val="2"/>
        <scheme val="minor"/>
      </rPr>
      <t xml:space="preserve"> field</t>
    </r>
  </si>
  <si>
    <r>
      <t xml:space="preserve">Enter </t>
    </r>
    <r>
      <rPr>
        <b/>
        <sz val="11"/>
        <color theme="1"/>
        <rFont val="Calibri"/>
        <family val="2"/>
        <scheme val="minor"/>
      </rPr>
      <t>description</t>
    </r>
    <r>
      <rPr>
        <sz val="11"/>
        <color theme="1"/>
        <rFont val="Calibri"/>
        <family val="2"/>
        <scheme val="minor"/>
      </rPr>
      <t xml:space="preserve"> as text</t>
    </r>
  </si>
  <si>
    <t>Flow description</t>
  </si>
  <si>
    <t>properties are assigned to each flow</t>
  </si>
  <si>
    <t>the list of properties can be extended as required</t>
  </si>
  <si>
    <t>Specify flow properties numerically in the Value field</t>
  </si>
  <si>
    <t>In general, the following should be noted:</t>
  </si>
  <si>
    <t>- As many cells as possible should be filled in. --&gt; The more information, the more exact the result</t>
  </si>
  <si>
    <t>- Do not count anything twice (e.g. credit notes, staff requirements, etc.)</t>
  </si>
  <si>
    <t>- If necessary, additional lines can be inserted in each category.</t>
  </si>
  <si>
    <t>Location</t>
  </si>
  <si>
    <t>TU Darmstadt</t>
  </si>
  <si>
    <t>Reference flow</t>
  </si>
  <si>
    <t>please write amount here, e. g. '1000'</t>
  </si>
  <si>
    <t>*All values are related to the reference unit unless otherwise specified</t>
  </si>
  <si>
    <t>scaling and non-scaling flow properties</t>
  </si>
  <si>
    <t>Properties</t>
  </si>
  <si>
    <t>monetary_value</t>
  </si>
  <si>
    <t>EUR</t>
  </si>
  <si>
    <t>climate_change_total</t>
  </si>
  <si>
    <t>kg CO2-eq</t>
  </si>
  <si>
    <t>Process</t>
  </si>
  <si>
    <t>Process typ</t>
  </si>
  <si>
    <t>Input flows</t>
  </si>
  <si>
    <t>Provider Data in Database</t>
  </si>
  <si>
    <t>Input</t>
  </si>
  <si>
    <t>Name</t>
  </si>
  <si>
    <t>Description</t>
  </si>
  <si>
    <t>Value</t>
  </si>
  <si>
    <t>Unit</t>
  </si>
  <si>
    <t>slope</t>
  </si>
  <si>
    <t>base</t>
  </si>
  <si>
    <t>Reference</t>
  </si>
  <si>
    <t>Database Provider Activity</t>
  </si>
  <si>
    <t>UUID</t>
  </si>
  <si>
    <t>Flow</t>
  </si>
  <si>
    <t xml:space="preserve">Value </t>
  </si>
  <si>
    <t xml:space="preserve">Unit </t>
  </si>
  <si>
    <t>In each category any number of lines can be added</t>
  </si>
  <si>
    <t>Please enter the name of the flow here or add already registered flows</t>
  </si>
  <si>
    <t>Specifications, Quality, Supply Chain, Supplier location, means of transport</t>
  </si>
  <si>
    <t>Amount</t>
  </si>
  <si>
    <t>best in SI</t>
  </si>
  <si>
    <t>scaling factor</t>
  </si>
  <si>
    <t>non scaling factor</t>
  </si>
  <si>
    <t>Data measured/estinated,  measurement errors, assumptions, literature sources</t>
  </si>
  <si>
    <t>Automitacilly fills in the name of the flow</t>
  </si>
  <si>
    <t>Costs, market price, … realted to one unit</t>
  </si>
  <si>
    <t>Lifetime of product</t>
  </si>
  <si>
    <t>Input material</t>
  </si>
  <si>
    <t>Energy</t>
  </si>
  <si>
    <t>Personnel</t>
  </si>
  <si>
    <t>Generic Flows</t>
  </si>
  <si>
    <t>Technology</t>
  </si>
  <si>
    <t>Process Parameters</t>
  </si>
  <si>
    <t>Scalable</t>
  </si>
  <si>
    <t>Specification,computational path,  range of value,</t>
  </si>
  <si>
    <t>0: unscalble; 1:  scable</t>
  </si>
  <si>
    <t>Facility parameters</t>
  </si>
  <si>
    <t>Lebensdauer</t>
  </si>
  <si>
    <t>a</t>
  </si>
  <si>
    <t>TRL</t>
  </si>
  <si>
    <t>Theoretische Betriebszeit</t>
  </si>
  <si>
    <t>€</t>
  </si>
  <si>
    <t>Durchsatz</t>
  </si>
  <si>
    <t>Investment Maschinen und Anlagen</t>
  </si>
  <si>
    <t>Investment Gebäude und Infrastruktur</t>
  </si>
  <si>
    <t>Investment Installation,</t>
  </si>
  <si>
    <t>Investment Planung, Entwicklung</t>
  </si>
  <si>
    <t>Wartung</t>
  </si>
  <si>
    <t>h/a</t>
  </si>
  <si>
    <t>Reparatur</t>
  </si>
  <si>
    <t>Rüstvorgang</t>
  </si>
  <si>
    <t>Raumbedarf</t>
  </si>
  <si>
    <t>m²</t>
  </si>
  <si>
    <t>Operation Parameters</t>
  </si>
  <si>
    <t>Arbeitstage/Jahr</t>
  </si>
  <si>
    <t>d/a</t>
  </si>
  <si>
    <t>Arbeitszeit /Tag</t>
  </si>
  <si>
    <t>h/d</t>
  </si>
  <si>
    <t>Output flows</t>
  </si>
  <si>
    <t xml:space="preserve">Output </t>
  </si>
  <si>
    <t>Specifications, Classification of hazard, Location of destination, planned treatment</t>
  </si>
  <si>
    <t>Products and valuable by-products</t>
  </si>
  <si>
    <t>Wastes, Losses</t>
  </si>
  <si>
    <t>Emissions</t>
  </si>
  <si>
    <t>Others</t>
  </si>
  <si>
    <t>Name of the sample(Flow)</t>
  </si>
  <si>
    <t>Generic Data</t>
  </si>
  <si>
    <t>Contamination</t>
  </si>
  <si>
    <t>Moisture Condition</t>
  </si>
  <si>
    <t>Material Composition</t>
  </si>
  <si>
    <t>Color</t>
  </si>
  <si>
    <r>
      <t>This list includes commonly used material names and can be adjusted based on specific processes or inputs from stakeholders.</t>
    </r>
    <r>
      <rPr>
        <sz val="11"/>
        <color rgb="FFFF0000"/>
        <rFont val="Calibri"/>
        <family val="2"/>
        <scheme val="minor"/>
      </rPr>
      <t>The blank rows are for additional material types that may arise in specific processes. Use 'Others' if the material type cannot be specified</t>
    </r>
  </si>
  <si>
    <t>weight in the dry condition</t>
  </si>
  <si>
    <t>Polypropylene (PP)</t>
  </si>
  <si>
    <t>Polyethylene Terephthalate(PET)</t>
  </si>
  <si>
    <t>Acrylonitrile Butadiene Styrene(ABS)</t>
  </si>
  <si>
    <t>High-Density Polyethylene (HDPE)</t>
  </si>
  <si>
    <t>Low-Density Polyethylene (LDPE)</t>
  </si>
  <si>
    <t>Polystyrene (PS)</t>
  </si>
  <si>
    <t>Polyvinyl Chloride (PVC)</t>
  </si>
  <si>
    <t>Polycarbonate (PC)</t>
  </si>
  <si>
    <t>Polymethyl Methacrylate (PMMA)</t>
  </si>
  <si>
    <t>Nylon (Polyamide, PA)</t>
  </si>
  <si>
    <t>Polyurethane (PUR)</t>
  </si>
  <si>
    <t>Fiber-Reinforced Plastics (FRP)</t>
  </si>
  <si>
    <t>Folien</t>
  </si>
  <si>
    <t>Weißblech (tinplate)</t>
  </si>
  <si>
    <t>PET Trays</t>
  </si>
  <si>
    <t>Mixed PET (90-10)</t>
  </si>
  <si>
    <t xml:space="preserve">Substitute Fuel </t>
  </si>
  <si>
    <t>Paper and Cardboard (PPK)</t>
  </si>
  <si>
    <t>Others Mixed Plastics</t>
  </si>
  <si>
    <t>Non-ferrous metals</t>
  </si>
  <si>
    <t>FE metals</t>
  </si>
  <si>
    <t>Foils</t>
  </si>
  <si>
    <t>FKN (Liquid cartons)</t>
  </si>
  <si>
    <t>Mixed plastics for energy recovery</t>
  </si>
  <si>
    <t>Sorting residues</t>
  </si>
  <si>
    <t>Polyolefin</t>
  </si>
  <si>
    <t>carbon content</t>
  </si>
  <si>
    <t>Standard Density  ( kg/m³)</t>
  </si>
  <si>
    <t>Reference for Density</t>
  </si>
  <si>
    <t>CAS Number</t>
  </si>
  <si>
    <t>Common Applications</t>
  </si>
  <si>
    <t>Standardized Sorting Number</t>
  </si>
  <si>
    <t>Sorting Guidelines</t>
  </si>
  <si>
    <t xml:space="preserve"> LCA Info (Carbon Footprint)</t>
  </si>
  <si>
    <t>References for Carbon footprint</t>
  </si>
  <si>
    <t>DIN SPEC 91446 Comments</t>
  </si>
  <si>
    <t>Identifies the type of material being analyzed</t>
  </si>
  <si>
    <t xml:space="preserve"> Material's characteristics or common uses, </t>
  </si>
  <si>
    <t>Specifies the molecular structure of the material</t>
  </si>
  <si>
    <t>According to the chemical formal</t>
  </si>
  <si>
    <t>Measured under standard conditions (e.g., temperature: 25°C, pressure: 1 atm, solid state unless specified)</t>
  </si>
  <si>
    <t>Link or source of information used to determine the standard density value of the material</t>
  </si>
  <si>
    <t>Unique Chemical Abstracts Service (CAS) identifier assigned to the material for standardized chemical referencing</t>
  </si>
  <si>
    <t>Standard or common color(s) of the material, useful for identification</t>
  </si>
  <si>
    <t>Typical uses or applications of the material in industry or daily life</t>
  </si>
  <si>
    <t>Instructions or recommendations for sorting the material during recycling or waste processing to maximize efficiency and accuracy</t>
  </si>
  <si>
    <t>Data on the material's carbon footprint, including production, transportation, or lifecycle assessments</t>
  </si>
  <si>
    <t>Source or citation for the carbon footprint data provided for the material</t>
  </si>
  <si>
    <t>Comments and recommendations based on DIN SPEC 91446 standards, including guidelines for recycling suitability, traceability, and purity requirements</t>
  </si>
  <si>
    <t>A versatile thermoplastic polymer used in packaging, textiles, and automotive components.</t>
  </si>
  <si>
    <t>(C3H6)n</t>
  </si>
  <si>
    <t>~85.7%</t>
  </si>
  <si>
    <t>https://materials.fsri.org/materialdetail/polypropylene-pp</t>
  </si>
  <si>
    <t>9003-07-0</t>
  </si>
  <si>
    <t xml:space="preserve">White </t>
  </si>
  <si>
    <t>laboratory equipment, medical devices, plastic straws, hot food containers</t>
  </si>
  <si>
    <t>Purity ≥ 96%, Max Contamination 4%, Form-Stable Articles ≥ 90%. Dry storage required</t>
  </si>
  <si>
    <t>Production Stage: 61.5 kg CO₂</t>
  </si>
  <si>
    <t>https://doi.org/10.3390/su11216000</t>
  </si>
  <si>
    <t>Recyclability: High, Suitable for mechanical recycling. Aim for DQL 3–4 with traceability and purity ≥ 96%</t>
  </si>
  <si>
    <t>A strong, lightweight plastic commonly used for beverage bottles and food containers.</t>
  </si>
  <si>
    <t>(C10H8O4)n</t>
  </si>
  <si>
    <t>~62.5%</t>
  </si>
  <si>
    <t>https://material-properties.org/pet-density-strength-melting-point-thermal-conductivity/</t>
  </si>
  <si>
    <t>25038-59-9</t>
  </si>
  <si>
    <t>Colorless</t>
  </si>
  <si>
    <t>packaging food and drinks</t>
  </si>
  <si>
    <t xml:space="preserve">58.6 kg CO₂/ton (cradle-to-resin) </t>
  </si>
  <si>
    <t>https://www.sciencedirect.com/science/article/pii/S0921344923003038#sec0006</t>
  </si>
  <si>
    <t>Highly recyclable. Focus on achieving DQL 4 with purity ≥ 94%. Recommended for food and beverage packaging.</t>
  </si>
  <si>
    <t>A durable thermoplastic used in automotive parts, electronics, and toys like LEGO bricks.</t>
  </si>
  <si>
    <t>C8H8·C4H6·C3H3N (variable ratios)</t>
  </si>
  <si>
    <t>~85-90% (depends on ratios)</t>
  </si>
  <si>
    <t>1040 - 1180</t>
  </si>
  <si>
    <t>https://matmake.com/properties/density-of-polymers-and-plastics.html</t>
  </si>
  <si>
    <t>Opaque ivory</t>
  </si>
  <si>
    <t>Consumer electronics, automotive, toys</t>
  </si>
  <si>
    <t>Recyclability: Moderate, Ensure purity ≥ 92%. Contamination limits ≤ 8%. Target DQL 2–3</t>
  </si>
  <si>
    <t>A strong, high-density plastic used in milk jugs, detergent bottles, and piping.</t>
  </si>
  <si>
    <t>(C2H4)n</t>
  </si>
  <si>
    <t>950 - 968</t>
  </si>
  <si>
    <t>Transparent</t>
  </si>
  <si>
    <t>plastic bags, bottles, pipes, containers, and toys</t>
  </si>
  <si>
    <t xml:space="preserve"> Purity ≥ 94%, Max Contamination 6%, Dry Storage.</t>
  </si>
  <si>
    <t xml:space="preserve">1600 kg CO₂ per ton(cradle-to-resin) </t>
  </si>
  <si>
    <t>High recyclability. Recommended DQL 3–4 for food-grade and non-food applications. Purity ≥ 94%.</t>
  </si>
  <si>
    <t>A flexible plastic used in grocery bags, plastic wraps, and squeezable bottles.</t>
  </si>
  <si>
    <t>912 - 925</t>
  </si>
  <si>
    <t>snap-on lids, trays, containers, plastic wraps, and films</t>
  </si>
  <si>
    <t xml:space="preserve"> 4.528 kg CO2/ kg of plastic;Polymer Production;((general cases and packaging)</t>
  </si>
  <si>
    <t>https://www.researchgate.net/publication/366198601_Carbon_Footprint_of_Single-Use_Plastic_Items_and_Their_Substitution</t>
  </si>
  <si>
    <t>Suitable for mechanical recycling. Aim for DQL 3–4 with purity ≥ 92%. Ensure contamination ≤ 8%.</t>
  </si>
  <si>
    <t>A lightweight plastic used in disposable cutlery, CD cases, and insulation materials.</t>
  </si>
  <si>
    <t>(C8H8)n</t>
  </si>
  <si>
    <t>~92.3%</t>
  </si>
  <si>
    <t xml:space="preserve">1054 - 1070 </t>
  </si>
  <si>
    <t xml:space="preserve"> Transparent</t>
  </si>
  <si>
    <t>takeaway containers, egg cartons, disposable tableware</t>
  </si>
  <si>
    <t>Purity ≥ 94%, Max Contamination 6%, EPS Articles &lt;1%, Dry Storage</t>
  </si>
  <si>
    <t xml:space="preserve"> 5.608 kg CO2/ kg of plastic;Polymer Production;((general cases and packaging)</t>
  </si>
  <si>
    <t>Moderate recyclability. Achieve DQL 2–3. Purity ≥ 94%, contamination limits ≤ 6%.</t>
  </si>
  <si>
    <t>A durable plastic used in pipes, cable insulation, and clothing.</t>
  </si>
  <si>
    <t>(C2H3Cl)n</t>
  </si>
  <si>
    <t>~38-43%</t>
  </si>
  <si>
    <t>1160 - 1550</t>
  </si>
  <si>
    <t>White</t>
  </si>
  <si>
    <t>Construction and Building</t>
  </si>
  <si>
    <t>Production Stage: 67 kg CO₂</t>
  </si>
  <si>
    <t>https://doi.org/10.1016/j.jenvman.2020.110172</t>
  </si>
  <si>
    <t>Recyclability: Low. Focus on achieving DQL 2. Ensure filler and stabilizer documentation for transparency</t>
  </si>
  <si>
    <t>A strong, transparent plastic used in eyewear lenses, CDs, and bulletproof glass.</t>
  </si>
  <si>
    <t>(C16H14O3)n</t>
  </si>
  <si>
    <t>~76.2%</t>
  </si>
  <si>
    <t>Consumer Electronics ...
Optical Applications ...
Medical and Food Industry</t>
  </si>
  <si>
    <t>Recyclability: Low to moderate. Include data on contaminants for DQL 2. Traceability tools recommended</t>
  </si>
  <si>
    <t xml:space="preserve">	A clear plastic known as acrylic, used in signs, displays, and aquariums.</t>
  </si>
  <si>
    <t>(C5H8O2)n</t>
  </si>
  <si>
    <t>~60%</t>
  </si>
  <si>
    <t>1180 - 1190</t>
  </si>
  <si>
    <t>construction to healthcare.</t>
  </si>
  <si>
    <t>Target DQL 2–3. Include traceability and contaminants data for recyclability</t>
  </si>
  <si>
    <t xml:space="preserve">	A synthetic polymer used in textiles, automotive applications, and carpets.</t>
  </si>
  <si>
    <t>(C12H22N2O2)n (Nylon 6,6 example)</t>
  </si>
  <si>
    <t>~63-67%</t>
  </si>
  <si>
    <t>https://material-properties.org/polyamide-nylon-density-strength-melting-point-thermal-conductivity/</t>
  </si>
  <si>
    <t>white or colorless</t>
  </si>
  <si>
    <t>transportation, electronics &amp; electrical, consumer goods, building &amp; construction, packaging</t>
  </si>
  <si>
    <t>Suitable for mechanical recycling. Focus on achieving DQL 2–3. Include data on stabilizers and purity levels.</t>
  </si>
  <si>
    <t>A versatile polymer used in foams, coatings, adhesives, and sealants</t>
  </si>
  <si>
    <t>Variable</t>
  </si>
  <si>
    <t xml:space="preserve">	~50-65% (depending on formulation)</t>
  </si>
  <si>
    <t>1050 - 1250</t>
  </si>
  <si>
    <t>https://matmake.com/materials-data/polyurethane-properties.html</t>
  </si>
  <si>
    <t xml:space="preserve"> black, gray or white </t>
  </si>
  <si>
    <t>Building insulation.
Refrigerators and freezers.
Furniture and bedding.
Footwear.
Automotive.
Coatings and adhesive</t>
  </si>
  <si>
    <t>Recyclability: Low. Focus on DQL 2. Document recyclability challenges (e.g., contamination).</t>
  </si>
  <si>
    <t>Composite materials made of a polymer matrix reinforced with fibers, used in aerospace and automotive industries.</t>
  </si>
  <si>
    <t>Composite Material</t>
  </si>
  <si>
    <t>Depends on resin and fiber composition</t>
  </si>
  <si>
    <t>Often opaque; color depends on the resin used</t>
  </si>
  <si>
    <t>aerospace, automotive, marine, and construction industries</t>
  </si>
  <si>
    <t>Difficult to recycle. Aim for DQL 1–2. Include filler content (glass fibers) and contaminant levels</t>
  </si>
  <si>
    <t>Thin plastic sheets used for packaging, wrapping, and protective coverings.</t>
  </si>
  <si>
    <t>Same as specific polymer used</t>
  </si>
  <si>
    <t>Varies (based on polymer type)</t>
  </si>
  <si>
    <t>ransparent; available in various colors</t>
  </si>
  <si>
    <t>Bags, carrier bags,films</t>
  </si>
  <si>
    <t>310-1</t>
  </si>
  <si>
    <t>Purity ≥ 92%, Max Contamination 8%, Transparent Films ≥ 42%.Dry storage required</t>
  </si>
  <si>
    <t>Recyclability: Moderate to High. Films are often recyclable but sensitive to contamination. Aim for DQL 3–4 with sorting and purity ≥ 92%. Document contamination limits.</t>
  </si>
  <si>
    <t>Thin steel sheets coated with tin</t>
  </si>
  <si>
    <t>N/A</t>
  </si>
  <si>
    <t>N/A (not carbon-based)</t>
  </si>
  <si>
    <t>Depends on the ratio of PET to other components</t>
  </si>
  <si>
    <t>Silvery with a shiny metallic finish</t>
  </si>
  <si>
    <t>Food and Beverage Packaging, Household Items</t>
  </si>
  <si>
    <t>Purity ≥ 75% PET trays, Max Contamination 17%, Specific limits for metals, PVC, and opaque PET</t>
  </si>
  <si>
    <t>Recyclability: High. Focus on achieving DQL 3 for sorting and documentation of material composition.</t>
  </si>
  <si>
    <t>Thermoformed trays made from PET</t>
  </si>
  <si>
    <t xml:space="preserve"> Transparent or light-colored; can be black for certain applications</t>
  </si>
  <si>
    <t>Food Packaging: ready-to-eat meals.
Beverage Containers: Trays for holding and organizing bottles.
Retail Display</t>
  </si>
  <si>
    <t>328-5</t>
  </si>
  <si>
    <t>Highly recyclable. Achieve DQL 4 with traceability and purity data (≥ 94%)</t>
  </si>
  <si>
    <t>Recycled PET blend, 90% clear and 10% colored</t>
  </si>
  <si>
    <t xml:space="preserve">	~62.5%</t>
  </si>
  <si>
    <t>Natural, White, Mix Color</t>
  </si>
  <si>
    <t>Recycling (rPET), Packaging (bottles, trays)</t>
  </si>
  <si>
    <t>Purity ≥ 98%, Max Contamination 2%, Transparent PET Bottles ≥ 90%, Other Rigid PET Articles ≤ 10%, Dry Storage Required</t>
  </si>
  <si>
    <t>Suitable for DQL 3. Ensure contamination limits and sorting for efficiency in recycling streams.</t>
  </si>
  <si>
    <t>Non-recyclable waste processed as fuel</t>
  </si>
  <si>
    <t>Depends on waste composition</t>
  </si>
  <si>
    <t>depends on the types of plastics and residuals used</t>
  </si>
  <si>
    <t>no specific color; depends on the composition of materials</t>
  </si>
  <si>
    <t>Industrial Application, Textiles</t>
  </si>
  <si>
    <t xml:space="preserve"> Purity ≥ 90%, Max Contamination ≤ 10%. Size Limits: Particles &lt; 20 mm (&lt; 5%) and &gt; 300 mm (&lt; 5%). Dry storage required</t>
  </si>
  <si>
    <t xml:space="preserve">	Focus on calorific value measurement for energy recovery. Document as DQL 1 for waste management strategies</t>
  </si>
  <si>
    <t>Materials made from cellulose fibers</t>
  </si>
  <si>
    <t>(C6H10O5)n</t>
  </si>
  <si>
    <t>~44.4%</t>
  </si>
  <si>
    <t>Brown, grey, or white</t>
  </si>
  <si>
    <t>Energy Recovery, Industrial Boilers, Power Plants</t>
  </si>
  <si>
    <t>urity ≥ 90%, Max Contamination 10%, Specific limits for liquid cartons, plastics, and metals. Dry storage required to prevent material degradation</t>
  </si>
  <si>
    <t>Target DQL 3. Document purity and contaminants for industrial applications</t>
  </si>
  <si>
    <t>A mixture of various plastic types, often processed together in recycling.</t>
  </si>
  <si>
    <t xml:space="preserve">	Mixed</t>
  </si>
  <si>
    <t xml:space="preserve">	Varies</t>
  </si>
  <si>
    <t>Depends on specific material composition</t>
  </si>
  <si>
    <t>A mix of colors depending on the type of plastic</t>
  </si>
  <si>
    <t>Composite plastic production, low-value recycled products</t>
  </si>
  <si>
    <t>Purity ≥ 90%, Max Contamination 10%, PET Articles &lt; 3%, PVC Articles &lt; 0.5%, Dry storage required</t>
  </si>
  <si>
    <t>Low recyclability. Aim for DQL 2. Include detailed contaminants and sorting guidelines</t>
  </si>
  <si>
    <t>Metals that do not contain significant amounts of iron, such as aluminum, copper, and brass.</t>
  </si>
  <si>
    <t>Varies based on the composition of non-ferrous metals (e.g., aluminum, copper, etc.)</t>
  </si>
  <si>
    <t>distinct color (e.g., copper is reddish, aluminum is silver</t>
  </si>
  <si>
    <t>Electronics,automotive (aluminum parts), construction (roofing, wiring)</t>
  </si>
  <si>
    <t>Purity ≥ 65%, Max Contamination 10%</t>
  </si>
  <si>
    <t>Focus on traceability and contaminants data for DQL 3.</t>
  </si>
  <si>
    <t>Ferrous metals containing iron, including steel and cast iron.</t>
  </si>
  <si>
    <t xml:space="preserve">	Composite Material</t>
  </si>
  <si>
    <t>silvery-gray</t>
  </si>
  <si>
    <t>Steel manufacturing, automotive parts (engine blocks, gears)</t>
  </si>
  <si>
    <t>Target DQL 3. Include data on purity and contaminants.</t>
  </si>
  <si>
    <t>Thin sheets of metal or plastic</t>
  </si>
  <si>
    <t>Depends on the thickness and material type (e.g., aluminum or plastic foil). For example, aluminum foil density is 2.7 g/cm³</t>
  </si>
  <si>
    <t>Shiny metallic</t>
  </si>
  <si>
    <t>Food packaging, pharmaceutical packaging</t>
  </si>
  <si>
    <t>Suitable for DQL 3. Document material composition and recyclability (e.g., aluminum/plastic).</t>
  </si>
  <si>
    <t xml:space="preserve">	Multi-layered cartons used for liquids like milk and juice, often made of paperboard, plastic, and aluminum.</t>
  </si>
  <si>
    <t>Varies (based on material composition)</t>
  </si>
  <si>
    <t>Depends on the proportion of each component and layer thickness</t>
  </si>
  <si>
    <t>Printed surfaces with multi-colored designs</t>
  </si>
  <si>
    <t>Beverage packaging (milk, juice), food packaging (soup, sauces), secondary recycling for paper content</t>
  </si>
  <si>
    <t>Target DQL 2. Ensure traceability and contaminants data for multi-layer packaging</t>
  </si>
  <si>
    <t>Various plastic wastes processed to produce energy through combustion.</t>
  </si>
  <si>
    <t>Mixed</t>
  </si>
  <si>
    <t>Density varies depending on the plastic types and contamination levels in the mixture</t>
  </si>
  <si>
    <t>mix of various colors and types</t>
  </si>
  <si>
    <t>Energy generation in waste-to-energy plants, industrial fuel substitute</t>
  </si>
  <si>
    <t>Focus on calorific value and contamination limits for DQL 1–2.</t>
  </si>
  <si>
    <t>Residual materials remaining after sorting processes, often sent to landfills or used for energy recovery.</t>
  </si>
  <si>
    <t>depends on waste stream composition. Typically measured as bulk density</t>
  </si>
  <si>
    <t xml:space="preserve"> dark or neutral colors</t>
  </si>
  <si>
    <t>Landfill, energy recovery in waste-to-energy plants, filler material in construction applications</t>
  </si>
  <si>
    <t>Purity ≥ 90%, Max Contamination (fine grain &lt; 5%, coarse grain &gt; 5%).Minimum calorific value (Hu) &gt; 13,000 kJ/kg, dry storage required</t>
  </si>
  <si>
    <t xml:space="preserve">	Aim for DQL 1. Document contaminants and waste composition</t>
  </si>
  <si>
    <t>Flexible items made from polyolefins like polyethylene and polypropylene, including films and bags.</t>
  </si>
  <si>
    <t>(C2H4)n or (C3H6)n</t>
  </si>
  <si>
    <t>~85-86%</t>
  </si>
  <si>
    <t xml:space="preserve"> depends on the type of polyolefin (PP,PE)</t>
  </si>
  <si>
    <t>White/transparent</t>
  </si>
  <si>
    <t>Packaging films, automotive parts, medical applications (syringes, tubing), reusable containers</t>
  </si>
  <si>
    <t>323-2</t>
  </si>
  <si>
    <t>Production Stage: 58.6 kg CO₂</t>
  </si>
  <si>
    <t>https://doi.org/10.1007/BF02978888</t>
  </si>
  <si>
    <t>Recyclability: High. Target DQL 3–4. Ensure purity ≥ 96% and contamination ≤ 4%.</t>
  </si>
  <si>
    <t>Density</t>
  </si>
  <si>
    <t>color</t>
  </si>
  <si>
    <t>Information about the analyis samples</t>
  </si>
  <si>
    <t>Elementary composition</t>
  </si>
  <si>
    <t>Carbon content</t>
  </si>
  <si>
    <t>N</t>
  </si>
  <si>
    <t>P</t>
  </si>
  <si>
    <t>H</t>
  </si>
  <si>
    <t>O</t>
  </si>
  <si>
    <t>Process Specific Data (Collection)</t>
  </si>
  <si>
    <t>Collection rate</t>
  </si>
  <si>
    <t>Collection purity wt pct</t>
  </si>
  <si>
    <t>Attached moisture dirt</t>
  </si>
  <si>
    <t>Non-packaging plastics (NPP) share</t>
  </si>
  <si>
    <t>Residual waste share</t>
  </si>
  <si>
    <t>Expanded polystyrene (EPS) items</t>
  </si>
  <si>
    <t>Aluminium-containing / non-ferrous metal</t>
  </si>
  <si>
    <t>Buckets, canisters</t>
  </si>
  <si>
    <t>Films &lt; DIN A4</t>
  </si>
  <si>
    <t>Films &gt; DIN A4</t>
  </si>
  <si>
    <t>Transparent PET bottles</t>
  </si>
  <si>
    <t>Other PET</t>
  </si>
  <si>
    <t>Polyethylene (PE)</t>
  </si>
  <si>
    <t>Other plastics</t>
  </si>
  <si>
    <t>Beverage cartons (FKN)</t>
  </si>
  <si>
    <t>PPK composites (Verbunde)</t>
  </si>
  <si>
    <t>Separable combination packaging (trennbar)</t>
  </si>
  <si>
    <t>PPK, no LVP (paper/card misthrows)</t>
  </si>
  <si>
    <t>Unsuitable LVP material (residues)</t>
  </si>
  <si>
    <t>Allowed: ton,kg, g,m´Mg, %</t>
  </si>
  <si>
    <t>Process Specific Data (Sorting)</t>
  </si>
  <si>
    <t>Sorting purity spec wt pct</t>
  </si>
  <si>
    <t>Other metal items</t>
  </si>
  <si>
    <t>Other plastics items</t>
  </si>
  <si>
    <t>Paper,paperboard, cardboard(PPK)</t>
  </si>
  <si>
    <t>PVC items</t>
  </si>
  <si>
    <t>Colourless,transparent foils</t>
  </si>
  <si>
    <t>Process Specific Data (Recycling)</t>
  </si>
  <si>
    <t>Fill out this section if your process type is 'Collection'</t>
  </si>
  <si>
    <t>Fill out this section if your process type is 'Sorting'</t>
  </si>
  <si>
    <t>Fill out this section if your process type is 'Recycling'</t>
  </si>
  <si>
    <t>Recyclate polymer purity dry wt pct</t>
  </si>
  <si>
    <t>Unit/Method/Condition</t>
  </si>
  <si>
    <t>Post-consumer recycled (PCR) content</t>
  </si>
  <si>
    <t xml:space="preserve">Melt flow rate </t>
  </si>
  <si>
    <t>Ash content</t>
  </si>
  <si>
    <t>Tensile modulus</t>
  </si>
  <si>
    <t>Tensile strength</t>
  </si>
  <si>
    <t>Chapry notch impact strength</t>
  </si>
  <si>
    <t>Description of the paramter</t>
  </si>
  <si>
    <t xml:space="preserve">Description </t>
  </si>
  <si>
    <t xml:space="preserve"> Color(s) of the material</t>
  </si>
  <si>
    <t>Dry, wet</t>
  </si>
  <si>
    <t>Stakeholder Name</t>
  </si>
  <si>
    <t>Who did this analysis</t>
  </si>
  <si>
    <t>Date</t>
  </si>
  <si>
    <t>When did this analysis</t>
  </si>
  <si>
    <t>Target plastic collected ÷ total generated</t>
  </si>
  <si>
    <r>
      <t>Process Parameters (</t>
    </r>
    <r>
      <rPr>
        <b/>
        <sz val="11"/>
        <color rgb="FFFF0000"/>
        <rFont val="Calibri"/>
        <family val="2"/>
        <scheme val="minor"/>
      </rPr>
      <t>fill if the process type is 'Collection'</t>
    </r>
    <r>
      <rPr>
        <b/>
        <sz val="11"/>
        <color theme="1"/>
        <rFont val="Calibri"/>
        <family val="2"/>
        <scheme val="minor"/>
      </rPr>
      <t>)</t>
    </r>
  </si>
  <si>
    <t>Target share in gross collected stream</t>
  </si>
  <si>
    <t>Moisture + adhered dirt on items</t>
  </si>
  <si>
    <t>Non-packaging plastics share in the stream</t>
  </si>
  <si>
    <t>Residual waste (incl. fines/organics) co-collected</t>
  </si>
  <si>
    <t>Mass of the sample</t>
  </si>
  <si>
    <t>Non-target materials in gross collected stream</t>
  </si>
  <si>
    <t>Measured density for this sample</t>
  </si>
  <si>
    <t>Percent of the sorting input that leaves the plant as saleable, spec-compliant output bales</t>
  </si>
  <si>
    <t>Process-level Sorting Yield</t>
  </si>
  <si>
    <r>
      <t>Process Parameters (</t>
    </r>
    <r>
      <rPr>
        <b/>
        <sz val="11"/>
        <color rgb="FFFF0000"/>
        <rFont val="Calibri"/>
        <family val="2"/>
        <scheme val="minor"/>
      </rPr>
      <t>fill if the process type is 'Sorting'</t>
    </r>
    <r>
      <rPr>
        <b/>
        <sz val="11"/>
        <color theme="1"/>
        <rFont val="Calibri"/>
        <family val="2"/>
        <scheme val="minor"/>
      </rPr>
      <t>)</t>
    </r>
  </si>
  <si>
    <t>Maximum_total_amount_of_impurities</t>
  </si>
  <si>
    <t>Expanded polystyrene items</t>
  </si>
  <si>
    <t>Mass of this DS ÷ total sorting input</t>
  </si>
  <si>
    <t>Yield_of_DS_from_input</t>
  </si>
  <si>
    <t>Output meeting target spec</t>
  </si>
  <si>
    <t>Other_metal_items</t>
  </si>
  <si>
    <t>Non-target plastics in output</t>
  </si>
  <si>
    <t>Paper/board/cardboard</t>
  </si>
  <si>
    <t>Expanded polystyrene in output</t>
  </si>
  <si>
    <t>PVC items (rigid/flexible)</t>
  </si>
  <si>
    <t>Required sub-type share</t>
  </si>
  <si>
    <t>Screen/mesh size used in filtration in µm</t>
  </si>
  <si>
    <t>Target polymer in recyclate (dry)</t>
  </si>
  <si>
    <t>Post-consumer recycled content</t>
  </si>
  <si>
    <t>Melt flow rate</t>
  </si>
  <si>
    <t>Residue after burn-off</t>
  </si>
  <si>
    <t>Young’s modulus</t>
  </si>
  <si>
    <t>Tensile strength  ( (specify yield/break)</t>
  </si>
  <si>
    <t>Notched Charpy impact</t>
  </si>
  <si>
    <t>Mass of this recyclate flow ÷ total recycling input) × 100</t>
  </si>
  <si>
    <t>(Σ all recyclate outputs ÷ total recycling input) × 100</t>
  </si>
  <si>
    <r>
      <t xml:space="preserve">Process Parameters </t>
    </r>
    <r>
      <rPr>
        <b/>
        <sz val="11"/>
        <color rgb="FFFF0000"/>
        <rFont val="Calibri"/>
        <family val="2"/>
        <scheme val="minor"/>
      </rPr>
      <t>(fill if the process type is 'Recycling'</t>
    </r>
    <r>
      <rPr>
        <b/>
        <sz val="11"/>
        <color theme="1"/>
        <rFont val="Calibri"/>
        <family val="2"/>
        <scheme val="minor"/>
      </rPr>
      <t>)</t>
    </r>
  </si>
  <si>
    <t>Process_level_Recycling Yield</t>
  </si>
  <si>
    <t>Max non-target share allowed in this output bale (sum of all impurities)</t>
  </si>
  <si>
    <t>Mass percent of carbon in the sample</t>
  </si>
  <si>
    <t>Mass percent of nitrogen</t>
  </si>
  <si>
    <t>Mass percent of hydrogen.</t>
  </si>
  <si>
    <t>Mass percent of oxygen</t>
  </si>
  <si>
    <t>Saturated hydrocarbon thermoplastic; chemically resistant and tough; spans flexible films (LD/LLDPE) to stiff rigids (HDPE)</t>
  </si>
  <si>
    <t>Chemical Formula</t>
  </si>
  <si>
    <t>~85.7% (by mass)</t>
  </si>
  <si>
    <t xml:space="preserve">Varies </t>
  </si>
  <si>
    <t>ranslucent</t>
  </si>
  <si>
    <t>Films &amp; bags, shrink/stretch wrap, liners, mailers; blow-molded bottles (milk/detergent), canisters; caps/closures; crates/houseware/toys; pipes &amp; geomembranes.</t>
  </si>
  <si>
    <t>Recyclability: High. For HDPE rigids aim DQL 3–4 with traceability and purity ≥94% (natural/clear preferred). For LD/LLDPE films target DQL 2–3, contamination ≤6–8%; document multilayers (EVOH/PA) and fillers/ash. For mixed PE, record composition and traceability; treat as DQL 2 unless measured data available.</t>
  </si>
  <si>
    <t>Name of material types</t>
  </si>
  <si>
    <t>Non ferrous metal</t>
  </si>
  <si>
    <t>Films</t>
  </si>
  <si>
    <t>KEG / EBS</t>
  </si>
  <si>
    <t>MPO</t>
  </si>
  <si>
    <t>PO bottles</t>
  </si>
  <si>
    <t xml:space="preserve">Hollow bodies </t>
  </si>
  <si>
    <t>Cups</t>
  </si>
  <si>
    <t>Non-packaging, same material</t>
  </si>
  <si>
    <t>Electronic waste</t>
  </si>
  <si>
    <t>EPS</t>
  </si>
  <si>
    <t>Transfer to material recycling = 93% of sorting output (148 Mg)</t>
  </si>
  <si>
    <t>Yield_flow_sample</t>
  </si>
  <si>
    <t>Filtration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</si>
</sst>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Segoe UI"/>
      <family val="2"/>
    </font>
    <font>
      <sz val="18"/>
      <name val="Calibri"/>
      <family val="2"/>
      <scheme val="minor"/>
    </font>
    <font>
      <sz val="12"/>
      <color theme="0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b/>
      <sz val="14"/>
      <color theme="0"/>
      <name val="Calibri"/>
      <family val="2"/>
    </font>
    <font>
      <b/>
      <sz val="12"/>
      <color theme="0"/>
      <name val="Calibri"/>
      <family val="2"/>
    </font>
    <font>
      <b/>
      <sz val="16"/>
      <name val="Calibri"/>
      <family val="2"/>
    </font>
    <font>
      <b/>
      <sz val="18"/>
      <name val="Calibri"/>
      <family val="2"/>
    </font>
    <font>
      <sz val="12"/>
      <name val="Calibri"/>
      <family val="2"/>
    </font>
    <font>
      <sz val="14"/>
      <color rgb="FFFF0000"/>
      <name val="Calibri"/>
      <family val="2"/>
      <scheme val="minor"/>
    </font>
    <font>
      <sz val="16"/>
      <color rgb="FF00999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sz val="12"/>
      <color rgb="FFFF0000"/>
      <name val="Calibri"/>
      <family val="2"/>
      <scheme val="minor"/>
    </font>
    <font>
      <b/>
      <sz val="18"/>
      <color rgb="FF009999"/>
      <name val="Calibri"/>
      <family val="2"/>
      <scheme val="minor"/>
    </font>
    <font>
      <sz val="11"/>
      <color rgb="FF000000"/>
      <name val="Calibri"/>
      <family val="2"/>
    </font>
    <font>
      <sz val="11"/>
      <color rgb="FF009999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2"/>
      <name val="Calibri"/>
      <family val="2"/>
      <scheme val="minor"/>
    </font>
    <font>
      <sz val="10.5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2"/>
      <color theme="2" tint="-0.249977111117893"/>
      <name val="Calibri"/>
      <family val="2"/>
      <scheme val="minor"/>
    </font>
    <font>
      <b/>
      <sz val="14"/>
      <color theme="2" tint="-0.249977111117893"/>
      <name val="Calibri"/>
      <family val="2"/>
    </font>
    <font>
      <i/>
      <sz val="11"/>
      <color theme="2" tint="-0.249977111117893"/>
      <name val="Calibri"/>
      <family val="2"/>
      <scheme val="minor"/>
    </font>
    <font>
      <sz val="14"/>
      <color theme="2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4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2E75B5"/>
      </patternFill>
    </fill>
    <fill>
      <patternFill patternType="solid">
        <fgColor theme="0"/>
        <bgColor rgb="FFFFD965"/>
      </patternFill>
    </fill>
    <fill>
      <patternFill patternType="solid">
        <fgColor rgb="FF00999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009374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249977111117893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009999"/>
      </right>
      <top/>
      <bottom/>
      <diagonal/>
    </border>
    <border>
      <left style="thin">
        <color indexed="64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medium">
        <color rgb="FF00999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medium">
        <color rgb="FF009999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00999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9999"/>
      </left>
      <right style="medium">
        <color rgb="FF009999"/>
      </right>
      <top/>
      <bottom style="thin">
        <color indexed="64"/>
      </bottom>
      <diagonal/>
    </border>
    <border>
      <left style="medium">
        <color rgb="FF009999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8">
    <xf numFmtId="0" fontId="0" fillId="0" borderId="0"/>
    <xf numFmtId="0" fontId="12" fillId="0" borderId="0" applyNumberFormat="0" applyFill="0" applyBorder="0" applyAlignment="0" applyProtection="0"/>
    <xf numFmtId="0" fontId="16" fillId="0" borderId="0"/>
    <xf numFmtId="0" fontId="18" fillId="0" borderId="0"/>
    <xf numFmtId="0" fontId="31" fillId="0" borderId="0"/>
    <xf numFmtId="0" fontId="35" fillId="14" borderId="0" applyNumberFormat="0" applyBorder="0" applyAlignment="0" applyProtection="0"/>
    <xf numFmtId="0" fontId="47" fillId="15" borderId="0" applyNumberFormat="0" applyBorder="0" applyAlignment="0" applyProtection="0"/>
    <xf numFmtId="0" fontId="48" fillId="16" borderId="42" applyNumberFormat="0" applyAlignment="0" applyProtection="0"/>
  </cellStyleXfs>
  <cellXfs count="292">
    <xf numFmtId="0" fontId="0" fillId="0" borderId="0" xfId="0"/>
    <xf numFmtId="0" fontId="0" fillId="2" borderId="0" xfId="0" applyFill="1"/>
    <xf numFmtId="0" fontId="6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8" fillId="2" borderId="0" xfId="0" applyFont="1" applyFill="1"/>
    <xf numFmtId="0" fontId="0" fillId="2" borderId="0" xfId="0" applyFill="1" applyAlignment="1">
      <alignment horizontal="center"/>
    </xf>
    <xf numFmtId="0" fontId="9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vertical="top" wrapText="1"/>
    </xf>
    <xf numFmtId="0" fontId="3" fillId="0" borderId="0" xfId="0" applyFont="1"/>
    <xf numFmtId="0" fontId="10" fillId="2" borderId="0" xfId="0" applyFont="1" applyFill="1"/>
    <xf numFmtId="0" fontId="11" fillId="2" borderId="0" xfId="0" applyFont="1" applyFill="1"/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7" fillId="2" borderId="0" xfId="0" applyFont="1" applyFill="1" applyAlignment="1">
      <alignment vertical="top" wrapText="1"/>
    </xf>
    <xf numFmtId="0" fontId="14" fillId="2" borderId="0" xfId="0" applyFont="1" applyFill="1"/>
    <xf numFmtId="0" fontId="0" fillId="2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22" fillId="3" borderId="0" xfId="0" applyFont="1" applyFill="1" applyAlignment="1">
      <alignment horizontal="center" vertical="center"/>
    </xf>
    <xf numFmtId="0" fontId="5" fillId="2" borderId="6" xfId="0" applyFont="1" applyFill="1" applyBorder="1" applyAlignment="1">
      <alignment vertical="top" wrapText="1"/>
    </xf>
    <xf numFmtId="0" fontId="23" fillId="2" borderId="0" xfId="0" applyFont="1" applyFill="1" applyAlignment="1">
      <alignment vertical="top" wrapText="1"/>
    </xf>
    <xf numFmtId="0" fontId="2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/>
    </xf>
    <xf numFmtId="0" fontId="0" fillId="2" borderId="0" xfId="0" applyFill="1" applyAlignment="1">
      <alignment horizontal="left"/>
    </xf>
    <xf numFmtId="0" fontId="4" fillId="2" borderId="0" xfId="0" applyFont="1" applyFill="1" applyAlignment="1">
      <alignment vertical="top"/>
    </xf>
    <xf numFmtId="0" fontId="0" fillId="2" borderId="10" xfId="0" applyFill="1" applyBorder="1" applyAlignment="1">
      <alignment horizontal="center"/>
    </xf>
    <xf numFmtId="0" fontId="4" fillId="2" borderId="10" xfId="0" applyFont="1" applyFill="1" applyBorder="1"/>
    <xf numFmtId="0" fontId="4" fillId="2" borderId="12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11" xfId="0" applyFont="1" applyFill="1" applyBorder="1"/>
    <xf numFmtId="0" fontId="2" fillId="2" borderId="12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vertical="center"/>
    </xf>
    <xf numFmtId="0" fontId="0" fillId="2" borderId="11" xfId="0" applyFill="1" applyBorder="1" applyAlignment="1">
      <alignment horizontal="center"/>
    </xf>
    <xf numFmtId="0" fontId="7" fillId="2" borderId="14" xfId="0" applyFont="1" applyFill="1" applyBorder="1" applyAlignment="1">
      <alignment vertical="center" wrapText="1"/>
    </xf>
    <xf numFmtId="0" fontId="25" fillId="2" borderId="0" xfId="0" applyFont="1" applyFill="1"/>
    <xf numFmtId="0" fontId="4" fillId="2" borderId="5" xfId="0" applyFont="1" applyFill="1" applyBorder="1" applyAlignment="1">
      <alignment horizontal="center" vertical="center"/>
    </xf>
    <xf numFmtId="0" fontId="26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 wrapText="1"/>
    </xf>
    <xf numFmtId="0" fontId="8" fillId="2" borderId="0" xfId="0" applyFont="1" applyFill="1" applyAlignment="1">
      <alignment horizontal="center"/>
    </xf>
    <xf numFmtId="0" fontId="26" fillId="2" borderId="0" xfId="0" applyFont="1" applyFill="1" applyAlignment="1" applyProtection="1">
      <alignment horizontal="center" vertical="center"/>
      <protection hidden="1"/>
    </xf>
    <xf numFmtId="0" fontId="27" fillId="2" borderId="0" xfId="0" applyFont="1" applyFill="1"/>
    <xf numFmtId="0" fontId="26" fillId="2" borderId="0" xfId="0" applyFont="1" applyFill="1" applyAlignment="1">
      <alignment horizontal="left" vertical="center"/>
    </xf>
    <xf numFmtId="0" fontId="26" fillId="2" borderId="0" xfId="0" applyFont="1" applyFill="1" applyAlignment="1">
      <alignment vertical="center"/>
    </xf>
    <xf numFmtId="0" fontId="26" fillId="2" borderId="0" xfId="0" applyFont="1" applyFill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vertical="top" wrapText="1"/>
    </xf>
    <xf numFmtId="0" fontId="28" fillId="2" borderId="0" xfId="0" applyFont="1" applyFill="1" applyAlignment="1">
      <alignment horizontal="center" vertical="center" wrapText="1"/>
    </xf>
    <xf numFmtId="0" fontId="24" fillId="2" borderId="0" xfId="0" applyFont="1" applyFill="1"/>
    <xf numFmtId="0" fontId="15" fillId="2" borderId="16" xfId="0" applyFont="1" applyFill="1" applyBorder="1" applyAlignment="1">
      <alignment vertical="center" wrapText="1"/>
    </xf>
    <xf numFmtId="0" fontId="30" fillId="2" borderId="0" xfId="0" applyFont="1" applyFill="1"/>
    <xf numFmtId="0" fontId="19" fillId="6" borderId="2" xfId="0" applyFont="1" applyFill="1" applyBorder="1" applyAlignment="1">
      <alignment horizontal="center" vertical="center" wrapText="1"/>
    </xf>
    <xf numFmtId="0" fontId="19" fillId="6" borderId="3" xfId="0" applyFont="1" applyFill="1" applyBorder="1" applyAlignment="1">
      <alignment horizontal="center" vertical="center" wrapText="1"/>
    </xf>
    <xf numFmtId="0" fontId="23" fillId="2" borderId="17" xfId="0" applyFont="1" applyFill="1" applyBorder="1" applyAlignment="1">
      <alignment vertical="top" wrapText="1"/>
    </xf>
    <xf numFmtId="0" fontId="23" fillId="2" borderId="4" xfId="0" applyFont="1" applyFill="1" applyBorder="1" applyAlignment="1">
      <alignment vertical="top" wrapText="1"/>
    </xf>
    <xf numFmtId="0" fontId="29" fillId="2" borderId="0" xfId="0" applyFont="1" applyFill="1"/>
    <xf numFmtId="0" fontId="4" fillId="2" borderId="18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/>
    </xf>
    <xf numFmtId="0" fontId="32" fillId="2" borderId="19" xfId="0" applyFont="1" applyFill="1" applyBorder="1"/>
    <xf numFmtId="0" fontId="0" fillId="2" borderId="20" xfId="0" applyFill="1" applyBorder="1"/>
    <xf numFmtId="0" fontId="0" fillId="2" borderId="15" xfId="0" quotePrefix="1" applyFill="1" applyBorder="1"/>
    <xf numFmtId="0" fontId="0" fillId="2" borderId="9" xfId="0" applyFill="1" applyBorder="1"/>
    <xf numFmtId="0" fontId="0" fillId="0" borderId="7" xfId="0" applyBorder="1"/>
    <xf numFmtId="0" fontId="0" fillId="2" borderId="8" xfId="0" applyFill="1" applyBorder="1"/>
    <xf numFmtId="0" fontId="0" fillId="2" borderId="7" xfId="0" applyFill="1" applyBorder="1"/>
    <xf numFmtId="0" fontId="2" fillId="2" borderId="7" xfId="0" applyFont="1" applyFill="1" applyBorder="1"/>
    <xf numFmtId="0" fontId="0" fillId="2" borderId="7" xfId="0" quotePrefix="1" applyFill="1" applyBorder="1"/>
    <xf numFmtId="0" fontId="0" fillId="2" borderId="1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/>
    </xf>
    <xf numFmtId="0" fontId="34" fillId="2" borderId="0" xfId="0" applyFont="1" applyFill="1"/>
    <xf numFmtId="0" fontId="33" fillId="13" borderId="30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0" fillId="2" borderId="2" xfId="0" applyFill="1" applyBorder="1"/>
    <xf numFmtId="0" fontId="4" fillId="2" borderId="1" xfId="0" applyFont="1" applyFill="1" applyBorder="1" applyAlignment="1">
      <alignment vertical="center" wrapText="1"/>
    </xf>
    <xf numFmtId="0" fontId="0" fillId="2" borderId="1" xfId="0" applyFill="1" applyBorder="1" applyAlignment="1">
      <alignment horizontal="left" vertical="center"/>
    </xf>
    <xf numFmtId="0" fontId="4" fillId="2" borderId="21" xfId="0" applyFont="1" applyFill="1" applyBorder="1" applyAlignment="1">
      <alignment horizontal="center" vertical="center"/>
    </xf>
    <xf numFmtId="0" fontId="4" fillId="2" borderId="21" xfId="0" applyFont="1" applyFill="1" applyBorder="1"/>
    <xf numFmtId="0" fontId="4" fillId="0" borderId="1" xfId="0" applyFont="1" applyBorder="1" applyAlignment="1">
      <alignment horizontal="left" vertical="center"/>
    </xf>
    <xf numFmtId="0" fontId="4" fillId="2" borderId="1" xfId="0" applyFont="1" applyFill="1" applyBorder="1"/>
    <xf numFmtId="0" fontId="36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4" fillId="2" borderId="31" xfId="0" applyFont="1" applyFill="1" applyBorder="1" applyAlignment="1">
      <alignment wrapText="1"/>
    </xf>
    <xf numFmtId="0" fontId="0" fillId="2" borderId="1" xfId="0" applyFill="1" applyBorder="1" applyAlignment="1">
      <alignment vertical="center"/>
    </xf>
    <xf numFmtId="0" fontId="0" fillId="2" borderId="1" xfId="0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Protection="1">
      <protection hidden="1"/>
    </xf>
    <xf numFmtId="0" fontId="4" fillId="0" borderId="1" xfId="0" applyFont="1" applyBorder="1" applyAlignment="1">
      <alignment horizontal="right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wrapText="1"/>
    </xf>
    <xf numFmtId="0" fontId="4" fillId="0" borderId="1" xfId="0" applyFont="1" applyBorder="1"/>
    <xf numFmtId="0" fontId="4" fillId="2" borderId="1" xfId="0" applyFont="1" applyFill="1" applyBorder="1" applyAlignment="1" applyProtection="1">
      <alignment horizontal="center"/>
      <protection hidden="1"/>
    </xf>
    <xf numFmtId="0" fontId="33" fillId="5" borderId="32" xfId="0" applyFont="1" applyFill="1" applyBorder="1"/>
    <xf numFmtId="0" fontId="33" fillId="5" borderId="33" xfId="0" applyFont="1" applyFill="1" applyBorder="1"/>
    <xf numFmtId="0" fontId="33" fillId="5" borderId="34" xfId="0" applyFont="1" applyFill="1" applyBorder="1"/>
    <xf numFmtId="0" fontId="33" fillId="5" borderId="3" xfId="0" applyFont="1" applyFill="1" applyBorder="1"/>
    <xf numFmtId="0" fontId="33" fillId="5" borderId="29" xfId="0" applyFont="1" applyFill="1" applyBorder="1"/>
    <xf numFmtId="0" fontId="33" fillId="6" borderId="24" xfId="0" applyFont="1" applyFill="1" applyBorder="1"/>
    <xf numFmtId="0" fontId="33" fillId="6" borderId="33" xfId="0" applyFont="1" applyFill="1" applyBorder="1"/>
    <xf numFmtId="0" fontId="33" fillId="6" borderId="34" xfId="0" applyFont="1" applyFill="1" applyBorder="1"/>
    <xf numFmtId="0" fontId="33" fillId="6" borderId="30" xfId="0" applyFont="1" applyFill="1" applyBorder="1"/>
    <xf numFmtId="0" fontId="33" fillId="6" borderId="3" xfId="0" applyFont="1" applyFill="1" applyBorder="1"/>
    <xf numFmtId="0" fontId="33" fillId="6" borderId="29" xfId="0" applyFont="1" applyFill="1" applyBorder="1"/>
    <xf numFmtId="0" fontId="33" fillId="6" borderId="4" xfId="0" applyFont="1" applyFill="1" applyBorder="1"/>
    <xf numFmtId="0" fontId="33" fillId="7" borderId="3" xfId="0" applyFont="1" applyFill="1" applyBorder="1"/>
    <xf numFmtId="0" fontId="33" fillId="7" borderId="29" xfId="0" applyFont="1" applyFill="1" applyBorder="1"/>
    <xf numFmtId="0" fontId="33" fillId="7" borderId="4" xfId="0" applyFont="1" applyFill="1" applyBorder="1"/>
    <xf numFmtId="0" fontId="0" fillId="2" borderId="21" xfId="0" applyFill="1" applyBorder="1"/>
    <xf numFmtId="0" fontId="33" fillId="5" borderId="25" xfId="0" applyFont="1" applyFill="1" applyBorder="1"/>
    <xf numFmtId="0" fontId="0" fillId="10" borderId="22" xfId="0" applyFill="1" applyBorder="1" applyAlignment="1">
      <alignment vertical="center"/>
    </xf>
    <xf numFmtId="0" fontId="0" fillId="10" borderId="22" xfId="0" applyFill="1" applyBorder="1" applyAlignment="1">
      <alignment horizontal="left" vertical="center" wrapText="1"/>
    </xf>
    <xf numFmtId="0" fontId="33" fillId="7" borderId="28" xfId="0" applyFont="1" applyFill="1" applyBorder="1"/>
    <xf numFmtId="0" fontId="33" fillId="7" borderId="27" xfId="0" applyFont="1" applyFill="1" applyBorder="1"/>
    <xf numFmtId="0" fontId="33" fillId="7" borderId="16" xfId="0" applyFont="1" applyFill="1" applyBorder="1"/>
    <xf numFmtId="0" fontId="37" fillId="2" borderId="0" xfId="0" applyFont="1" applyFill="1"/>
    <xf numFmtId="0" fontId="0" fillId="10" borderId="35" xfId="0" applyFill="1" applyBorder="1" applyAlignment="1">
      <alignment horizontal="left" vertical="center" wrapText="1"/>
    </xf>
    <xf numFmtId="0" fontId="0" fillId="10" borderId="9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11" borderId="9" xfId="0" applyFill="1" applyBorder="1" applyAlignment="1">
      <alignment horizontal="left" vertical="center" wrapText="1"/>
    </xf>
    <xf numFmtId="0" fontId="0" fillId="12" borderId="22" xfId="0" applyFill="1" applyBorder="1" applyAlignment="1">
      <alignment horizontal="left" vertical="center" wrapText="1"/>
    </xf>
    <xf numFmtId="0" fontId="33" fillId="5" borderId="23" xfId="0" applyFont="1" applyFill="1" applyBorder="1"/>
    <xf numFmtId="0" fontId="33" fillId="5" borderId="16" xfId="0" applyFont="1" applyFill="1" applyBorder="1"/>
    <xf numFmtId="0" fontId="35" fillId="2" borderId="1" xfId="5" applyNumberFormat="1" applyFill="1" applyBorder="1" applyAlignment="1">
      <alignment horizontal="right" vertical="center"/>
    </xf>
    <xf numFmtId="0" fontId="35" fillId="2" borderId="1" xfId="5" applyNumberFormat="1" applyFill="1" applyBorder="1"/>
    <xf numFmtId="0" fontId="35" fillId="2" borderId="1" xfId="5" applyFill="1" applyBorder="1" applyAlignment="1" applyProtection="1">
      <alignment horizontal="center"/>
      <protection hidden="1"/>
    </xf>
    <xf numFmtId="0" fontId="0" fillId="0" borderId="1" xfId="0" applyBorder="1" applyAlignment="1">
      <alignment horizontal="center" vertical="center"/>
    </xf>
    <xf numFmtId="0" fontId="7" fillId="2" borderId="36" xfId="0" applyFont="1" applyFill="1" applyBorder="1" applyAlignment="1">
      <alignment vertical="center" wrapText="1"/>
    </xf>
    <xf numFmtId="0" fontId="0" fillId="12" borderId="9" xfId="0" applyFill="1" applyBorder="1" applyAlignment="1">
      <alignment horizontal="left" vertical="center" wrapText="1"/>
    </xf>
    <xf numFmtId="0" fontId="33" fillId="7" borderId="23" xfId="0" applyFont="1" applyFill="1" applyBorder="1"/>
    <xf numFmtId="0" fontId="0" fillId="12" borderId="26" xfId="0" applyFill="1" applyBorder="1" applyAlignment="1">
      <alignment horizontal="left" vertical="center" wrapText="1"/>
    </xf>
    <xf numFmtId="0" fontId="34" fillId="2" borderId="0" xfId="0" applyFont="1" applyFill="1" applyAlignment="1">
      <alignment vertical="top" wrapText="1"/>
    </xf>
    <xf numFmtId="0" fontId="38" fillId="2" borderId="1" xfId="0" applyFont="1" applyFill="1" applyBorder="1" applyAlignment="1">
      <alignment horizontal="left" vertical="center" wrapText="1" readingOrder="1"/>
    </xf>
    <xf numFmtId="0" fontId="0" fillId="2" borderId="2" xfId="0" applyFill="1" applyBorder="1" applyAlignment="1">
      <alignment horizontal="center"/>
    </xf>
    <xf numFmtId="0" fontId="4" fillId="2" borderId="21" xfId="0" applyFont="1" applyFill="1" applyBorder="1" applyAlignment="1">
      <alignment horizontal="left" vertical="center"/>
    </xf>
    <xf numFmtId="0" fontId="39" fillId="2" borderId="1" xfId="0" applyFont="1" applyFill="1" applyBorder="1" applyAlignment="1">
      <alignment horizontal="center" vertical="center"/>
    </xf>
    <xf numFmtId="0" fontId="0" fillId="2" borderId="21" xfId="2" applyFont="1" applyFill="1" applyBorder="1"/>
    <xf numFmtId="0" fontId="0" fillId="10" borderId="22" xfId="0" applyFill="1" applyBorder="1" applyAlignment="1">
      <alignment vertical="center" wrapText="1"/>
    </xf>
    <xf numFmtId="0" fontId="0" fillId="10" borderId="15" xfId="0" applyFill="1" applyBorder="1" applyAlignment="1">
      <alignment vertical="center" wrapText="1"/>
    </xf>
    <xf numFmtId="0" fontId="0" fillId="11" borderId="37" xfId="0" applyFill="1" applyBorder="1" applyAlignment="1">
      <alignment horizontal="left" vertical="center" wrapText="1"/>
    </xf>
    <xf numFmtId="0" fontId="7" fillId="2" borderId="38" xfId="0" applyFont="1" applyFill="1" applyBorder="1" applyAlignment="1">
      <alignment vertical="center" wrapText="1"/>
    </xf>
    <xf numFmtId="0" fontId="4" fillId="2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10" borderId="40" xfId="0" applyFill="1" applyBorder="1" applyAlignment="1">
      <alignment vertical="center" wrapText="1"/>
    </xf>
    <xf numFmtId="0" fontId="1" fillId="5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2" borderId="0" xfId="0" applyFill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21" fillId="3" borderId="0" xfId="0" applyFont="1" applyFill="1" applyAlignment="1">
      <alignment horizontal="center" vertical="top"/>
    </xf>
    <xf numFmtId="0" fontId="12" fillId="2" borderId="1" xfId="1" applyFill="1" applyBorder="1" applyAlignment="1">
      <alignment horizontal="left" vertical="top" wrapText="1"/>
    </xf>
    <xf numFmtId="0" fontId="20" fillId="4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left" vertical="top" wrapText="1"/>
    </xf>
    <xf numFmtId="0" fontId="0" fillId="11" borderId="41" xfId="0" applyFill="1" applyBorder="1" applyAlignment="1">
      <alignment horizontal="left" vertical="center" wrapText="1"/>
    </xf>
    <xf numFmtId="0" fontId="0" fillId="2" borderId="5" xfId="0" applyFill="1" applyBorder="1"/>
    <xf numFmtId="0" fontId="41" fillId="0" borderId="1" xfId="0" applyFont="1" applyBorder="1"/>
    <xf numFmtId="0" fontId="41" fillId="2" borderId="1" xfId="0" applyFont="1" applyFill="1" applyBorder="1" applyAlignment="1">
      <alignment horizontal="center" vertical="center"/>
    </xf>
    <xf numFmtId="0" fontId="41" fillId="0" borderId="1" xfId="0" applyFont="1" applyBorder="1" applyAlignment="1">
      <alignment horizontal="center" vertical="center"/>
    </xf>
    <xf numFmtId="0" fontId="41" fillId="2" borderId="0" xfId="0" applyFont="1" applyFill="1" applyAlignment="1">
      <alignment horizontal="center" vertical="center"/>
    </xf>
    <xf numFmtId="0" fontId="42" fillId="2" borderId="0" xfId="0" applyFont="1" applyFill="1" applyAlignment="1">
      <alignment horizontal="left" vertical="center"/>
    </xf>
    <xf numFmtId="0" fontId="41" fillId="2" borderId="0" xfId="0" applyFont="1" applyFill="1" applyAlignment="1">
      <alignment vertical="center"/>
    </xf>
    <xf numFmtId="0" fontId="41" fillId="2" borderId="0" xfId="0" applyFont="1" applyFill="1" applyAlignment="1">
      <alignment horizontal="center"/>
    </xf>
    <xf numFmtId="0" fontId="41" fillId="2" borderId="0" xfId="0" applyFont="1" applyFill="1"/>
    <xf numFmtId="0" fontId="41" fillId="0" borderId="0" xfId="0" applyFont="1" applyAlignment="1">
      <alignment vertical="top" wrapText="1"/>
    </xf>
    <xf numFmtId="0" fontId="41" fillId="2" borderId="0" xfId="5" applyNumberFormat="1" applyFont="1" applyFill="1" applyBorder="1" applyAlignment="1">
      <alignment horizontal="right" vertical="center"/>
    </xf>
    <xf numFmtId="0" fontId="41" fillId="2" borderId="0" xfId="5" applyNumberFormat="1" applyFont="1" applyFill="1" applyBorder="1"/>
    <xf numFmtId="0" fontId="41" fillId="2" borderId="0" xfId="0" applyFont="1" applyFill="1" applyAlignment="1">
      <alignment vertical="top" wrapText="1"/>
    </xf>
    <xf numFmtId="0" fontId="40" fillId="7" borderId="33" xfId="0" applyFont="1" applyFill="1" applyBorder="1"/>
    <xf numFmtId="0" fontId="41" fillId="12" borderId="22" xfId="0" applyFont="1" applyFill="1" applyBorder="1" applyAlignment="1">
      <alignment horizontal="left" vertical="center" wrapText="1"/>
    </xf>
    <xf numFmtId="0" fontId="41" fillId="2" borderId="5" xfId="0" applyFont="1" applyFill="1" applyBorder="1" applyAlignment="1">
      <alignment horizontal="center" vertical="center"/>
    </xf>
    <xf numFmtId="0" fontId="0" fillId="10" borderId="6" xfId="0" applyFill="1" applyBorder="1" applyAlignment="1">
      <alignment vertical="center" wrapText="1"/>
    </xf>
    <xf numFmtId="0" fontId="43" fillId="2" borderId="23" xfId="0" applyFont="1" applyFill="1" applyBorder="1" applyAlignment="1">
      <alignment vertical="center"/>
    </xf>
    <xf numFmtId="0" fontId="30" fillId="2" borderId="23" xfId="0" applyFont="1" applyFill="1" applyBorder="1"/>
    <xf numFmtId="0" fontId="33" fillId="6" borderId="27" xfId="0" applyFont="1" applyFill="1" applyBorder="1"/>
    <xf numFmtId="0" fontId="41" fillId="2" borderId="0" xfId="0" applyFont="1" applyFill="1" applyAlignment="1">
      <alignment horizontal="left" vertical="top" wrapText="1"/>
    </xf>
    <xf numFmtId="0" fontId="41" fillId="8" borderId="1" xfId="0" applyFont="1" applyFill="1" applyBorder="1" applyAlignment="1">
      <alignment vertical="top" wrapText="1"/>
    </xf>
    <xf numFmtId="0" fontId="44" fillId="2" borderId="0" xfId="0" applyFont="1" applyFill="1" applyAlignment="1">
      <alignment horizontal="center" vertical="center" wrapText="1"/>
    </xf>
    <xf numFmtId="0" fontId="41" fillId="0" borderId="0" xfId="0" applyFont="1"/>
    <xf numFmtId="0" fontId="45" fillId="8" borderId="6" xfId="0" applyFont="1" applyFill="1" applyBorder="1" applyAlignment="1">
      <alignment vertical="top" wrapText="1"/>
    </xf>
    <xf numFmtId="0" fontId="46" fillId="2" borderId="0" xfId="0" applyFont="1" applyFill="1"/>
    <xf numFmtId="0" fontId="41" fillId="10" borderId="5" xfId="0" applyFont="1" applyFill="1" applyBorder="1" applyAlignment="1">
      <alignment vertical="center" wrapText="1"/>
    </xf>
    <xf numFmtId="0" fontId="4" fillId="2" borderId="5" xfId="0" applyFont="1" applyFill="1" applyBorder="1"/>
    <xf numFmtId="0" fontId="41" fillId="10" borderId="6" xfId="0" applyFont="1" applyFill="1" applyBorder="1" applyAlignment="1">
      <alignment vertical="center"/>
    </xf>
    <xf numFmtId="0" fontId="41" fillId="10" borderId="6" xfId="0" applyFont="1" applyFill="1" applyBorder="1" applyAlignment="1">
      <alignment vertical="center" wrapText="1"/>
    </xf>
    <xf numFmtId="0" fontId="40" fillId="5" borderId="23" xfId="0" applyFont="1" applyFill="1" applyBorder="1"/>
    <xf numFmtId="0" fontId="40" fillId="5" borderId="4" xfId="0" applyFont="1" applyFill="1" applyBorder="1"/>
    <xf numFmtId="0" fontId="33" fillId="5" borderId="17" xfId="0" applyFont="1" applyFill="1" applyBorder="1"/>
    <xf numFmtId="0" fontId="40" fillId="5" borderId="28" xfId="0" applyFont="1" applyFill="1" applyBorder="1"/>
    <xf numFmtId="0" fontId="41" fillId="10" borderId="40" xfId="0" applyFont="1" applyFill="1" applyBorder="1" applyAlignment="1">
      <alignment vertical="center" wrapText="1"/>
    </xf>
    <xf numFmtId="0" fontId="40" fillId="5" borderId="25" xfId="0" applyFont="1" applyFill="1" applyBorder="1"/>
    <xf numFmtId="0" fontId="0" fillId="2" borderId="41" xfId="0" applyFill="1" applyBorder="1" applyAlignment="1">
      <alignment horizontal="center"/>
    </xf>
    <xf numFmtId="0" fontId="40" fillId="7" borderId="15" xfId="0" applyFont="1" applyFill="1" applyBorder="1"/>
    <xf numFmtId="0" fontId="41" fillId="12" borderId="1" xfId="0" applyFont="1" applyFill="1" applyBorder="1" applyAlignment="1">
      <alignment horizontal="left" vertical="center" wrapText="1"/>
    </xf>
    <xf numFmtId="0" fontId="41" fillId="12" borderId="2" xfId="0" applyFont="1" applyFill="1" applyBorder="1" applyAlignment="1">
      <alignment horizontal="left" vertical="center" wrapText="1"/>
    </xf>
    <xf numFmtId="0" fontId="41" fillId="12" borderId="5" xfId="0" applyFont="1" applyFill="1" applyBorder="1" applyAlignment="1">
      <alignment horizontal="left" vertical="center" wrapText="1"/>
    </xf>
    <xf numFmtId="0" fontId="40" fillId="7" borderId="16" xfId="0" applyFont="1" applyFill="1" applyBorder="1"/>
    <xf numFmtId="0" fontId="41" fillId="0" borderId="1" xfId="0" applyFont="1" applyBorder="1" applyAlignment="1">
      <alignment horizontal="right"/>
    </xf>
    <xf numFmtId="0" fontId="41" fillId="0" borderId="1" xfId="0" applyFont="1" applyBorder="1" applyAlignment="1">
      <alignment horizontal="center"/>
    </xf>
    <xf numFmtId="0" fontId="41" fillId="0" borderId="1" xfId="5" applyNumberFormat="1" applyFont="1" applyFill="1" applyBorder="1"/>
    <xf numFmtId="0" fontId="41" fillId="0" borderId="1" xfId="5" applyFont="1" applyFill="1" applyBorder="1" applyAlignment="1" applyProtection="1">
      <alignment horizontal="center"/>
      <protection hidden="1"/>
    </xf>
    <xf numFmtId="0" fontId="0" fillId="2" borderId="19" xfId="0" applyFill="1" applyBorder="1"/>
    <xf numFmtId="0" fontId="41" fillId="0" borderId="1" xfId="0" applyFont="1" applyBorder="1" applyAlignment="1">
      <alignment horizontal="center" vertical="center" wrapText="1"/>
    </xf>
    <xf numFmtId="0" fontId="2" fillId="9" borderId="1" xfId="0" applyFont="1" applyFill="1" applyBorder="1" applyAlignment="1">
      <alignment vertical="center"/>
    </xf>
    <xf numFmtId="0" fontId="2" fillId="8" borderId="21" xfId="0" applyFont="1" applyFill="1" applyBorder="1" applyAlignment="1">
      <alignment vertical="center" wrapText="1"/>
    </xf>
    <xf numFmtId="0" fontId="2" fillId="9" borderId="21" xfId="0" applyFont="1" applyFill="1" applyBorder="1" applyAlignment="1">
      <alignment vertical="center" wrapText="1"/>
    </xf>
    <xf numFmtId="0" fontId="41" fillId="0" borderId="2" xfId="0" applyFont="1" applyBorder="1" applyAlignment="1">
      <alignment horizontal="center" vertical="center"/>
    </xf>
    <xf numFmtId="0" fontId="41" fillId="0" borderId="2" xfId="0" applyFont="1" applyBorder="1" applyAlignment="1" applyProtection="1">
      <alignment horizontal="center"/>
      <protection hidden="1"/>
    </xf>
    <xf numFmtId="0" fontId="41" fillId="2" borderId="1" xfId="0" applyFont="1" applyFill="1" applyBorder="1" applyAlignment="1">
      <alignment horizontal="center" vertical="center" wrapText="1"/>
    </xf>
    <xf numFmtId="0" fontId="49" fillId="17" borderId="1" xfId="6" applyFont="1" applyFill="1" applyBorder="1" applyAlignment="1">
      <alignment horizontal="center"/>
    </xf>
    <xf numFmtId="0" fontId="50" fillId="0" borderId="1" xfId="0" applyFont="1" applyBorder="1" applyAlignment="1">
      <alignment horizontal="center"/>
    </xf>
    <xf numFmtId="0" fontId="51" fillId="17" borderId="1" xfId="0" applyFont="1" applyFill="1" applyBorder="1" applyAlignment="1">
      <alignment horizontal="center"/>
    </xf>
    <xf numFmtId="0" fontId="48" fillId="18" borderId="1" xfId="7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8" borderId="1" xfId="0" applyFill="1" applyBorder="1" applyAlignment="1">
      <alignment vertical="center"/>
    </xf>
    <xf numFmtId="0" fontId="50" fillId="0" borderId="1" xfId="0" applyFont="1" applyBorder="1"/>
    <xf numFmtId="0" fontId="0" fillId="0" borderId="44" xfId="0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9" xfId="0" applyBorder="1"/>
    <xf numFmtId="0" fontId="0" fillId="0" borderId="44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9" xfId="0" applyBorder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50" fillId="0" borderId="0" xfId="0" applyFont="1" applyAlignment="1">
      <alignment horizontal="center"/>
    </xf>
    <xf numFmtId="0" fontId="0" fillId="0" borderId="49" xfId="0" applyBorder="1" applyAlignment="1">
      <alignment horizontal="center" wrapText="1"/>
    </xf>
    <xf numFmtId="0" fontId="1" fillId="17" borderId="43" xfId="6" applyFont="1" applyFill="1" applyBorder="1" applyAlignment="1">
      <alignment horizontal="center"/>
    </xf>
    <xf numFmtId="0" fontId="1" fillId="17" borderId="46" xfId="6" applyFont="1" applyFill="1" applyBorder="1" applyAlignment="1">
      <alignment horizontal="center"/>
    </xf>
    <xf numFmtId="0" fontId="1" fillId="17" borderId="46" xfId="6" applyFont="1" applyFill="1" applyBorder="1" applyAlignment="1"/>
    <xf numFmtId="0" fontId="2" fillId="19" borderId="0" xfId="6" applyFont="1" applyFill="1" applyBorder="1" applyAlignment="1">
      <alignment horizontal="center"/>
    </xf>
    <xf numFmtId="0" fontId="2" fillId="19" borderId="0" xfId="6" applyFont="1" applyFill="1" applyBorder="1" applyAlignment="1"/>
    <xf numFmtId="0" fontId="12" fillId="0" borderId="0" xfId="1" applyBorder="1" applyAlignment="1">
      <alignment horizontal="center"/>
    </xf>
    <xf numFmtId="0" fontId="12" fillId="0" borderId="0" xfId="1" applyBorder="1" applyAlignment="1">
      <alignment horizontal="center" vertical="center"/>
    </xf>
    <xf numFmtId="0" fontId="52" fillId="0" borderId="0" xfId="0" applyFont="1"/>
    <xf numFmtId="0" fontId="53" fillId="0" borderId="0" xfId="1" applyFont="1" applyBorder="1" applyAlignment="1">
      <alignment horizontal="center"/>
    </xf>
    <xf numFmtId="0" fontId="53" fillId="0" borderId="0" xfId="1" applyFont="1" applyBorder="1" applyAlignment="1">
      <alignment horizontal="center" vertical="center"/>
    </xf>
    <xf numFmtId="0" fontId="0" fillId="0" borderId="0" xfId="0" applyAlignment="1">
      <alignment wrapText="1"/>
    </xf>
    <xf numFmtId="0" fontId="12" fillId="0" borderId="0" xfId="1" applyBorder="1" applyAlignment="1"/>
    <xf numFmtId="0" fontId="12" fillId="0" borderId="49" xfId="1" applyBorder="1" applyAlignment="1"/>
    <xf numFmtId="0" fontId="1" fillId="17" borderId="45" xfId="6" applyFont="1" applyFill="1" applyBorder="1" applyAlignment="1"/>
    <xf numFmtId="0" fontId="2" fillId="19" borderId="41" xfId="6" applyFont="1" applyFill="1" applyBorder="1" applyAlignment="1"/>
    <xf numFmtId="0" fontId="0" fillId="0" borderId="41" xfId="0" applyBorder="1"/>
    <xf numFmtId="0" fontId="0" fillId="0" borderId="48" xfId="0" applyBorder="1"/>
    <xf numFmtId="0" fontId="5" fillId="18" borderId="1" xfId="5" applyFont="1" applyFill="1" applyBorder="1" applyAlignment="1">
      <alignment horizontal="center" vertical="center" wrapText="1"/>
    </xf>
    <xf numFmtId="0" fontId="49" fillId="17" borderId="35" xfId="0" applyFont="1" applyFill="1" applyBorder="1" applyAlignment="1">
      <alignment horizontal="center" indent="1"/>
    </xf>
    <xf numFmtId="0" fontId="49" fillId="17" borderId="35" xfId="5" applyFont="1" applyFill="1" applyBorder="1" applyAlignment="1">
      <alignment horizontal="center" indent="1"/>
    </xf>
    <xf numFmtId="0" fontId="51" fillId="17" borderId="1" xfId="0" applyNumberFormat="1" applyFont="1" applyFill="1" applyBorder="1" applyAlignment="1">
      <alignment horizontal="center" vertical="center"/>
    </xf>
    <xf numFmtId="0" fontId="48" fillId="18" borderId="1" xfId="7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49" fillId="17" borderId="35" xfId="5" applyNumberFormat="1" applyFont="1" applyFill="1" applyBorder="1" applyAlignment="1">
      <alignment horizontal="center" vertical="center"/>
    </xf>
    <xf numFmtId="0" fontId="5" fillId="18" borderId="1" xfId="5" applyNumberFormat="1" applyFont="1" applyFill="1" applyBorder="1" applyAlignment="1">
      <alignment horizontal="center" vertical="center" wrapText="1"/>
    </xf>
    <xf numFmtId="0" fontId="50" fillId="0" borderId="1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49" fillId="17" borderId="35" xfId="0" applyNumberFormat="1" applyFont="1" applyFill="1" applyBorder="1" applyAlignment="1">
      <alignment horizontal="center"/>
    </xf>
    <xf numFmtId="0" fontId="0" fillId="18" borderId="1" xfId="0" applyNumberFormat="1" applyFill="1" applyBorder="1" applyAlignment="1">
      <alignment horizontal="center" vertical="center"/>
    </xf>
    <xf numFmtId="0" fontId="0" fillId="2" borderId="23" xfId="0" applyFont="1" applyFill="1" applyBorder="1"/>
    <xf numFmtId="0" fontId="4" fillId="0" borderId="21" xfId="0" applyFont="1" applyBorder="1" applyAlignment="1">
      <alignment horizontal="center" vertical="center" wrapText="1"/>
    </xf>
    <xf numFmtId="0" fontId="26" fillId="18" borderId="1" xfId="0" applyFont="1" applyFill="1" applyBorder="1" applyAlignment="1">
      <alignment horizontal="center" vertical="center"/>
    </xf>
    <xf numFmtId="0" fontId="49" fillId="17" borderId="35" xfId="0" applyFont="1" applyFill="1" applyBorder="1" applyAlignment="1">
      <alignment horizontal="center" vertical="center"/>
    </xf>
    <xf numFmtId="0" fontId="49" fillId="17" borderId="35" xfId="0" applyNumberFormat="1" applyFont="1" applyFill="1" applyBorder="1" applyAlignment="1">
      <alignment horizontal="center" vertical="center"/>
    </xf>
    <xf numFmtId="0" fontId="49" fillId="17" borderId="1" xfId="6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48" fillId="18" borderId="1" xfId="7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top" wrapText="1"/>
    </xf>
    <xf numFmtId="0" fontId="40" fillId="7" borderId="3" xfId="0" applyFont="1" applyFill="1" applyBorder="1" applyAlignment="1"/>
    <xf numFmtId="0" fontId="41" fillId="7" borderId="29" xfId="0" applyFont="1" applyFill="1" applyBorder="1" applyAlignment="1"/>
    <xf numFmtId="0" fontId="3" fillId="2" borderId="3" xfId="0" applyFont="1" applyFill="1" applyBorder="1" applyAlignment="1"/>
    <xf numFmtId="0" fontId="0" fillId="0" borderId="4" xfId="0" applyBorder="1" applyAlignment="1"/>
    <xf numFmtId="0" fontId="40" fillId="5" borderId="28" xfId="0" applyFont="1" applyFill="1" applyBorder="1" applyAlignment="1"/>
    <xf numFmtId="0" fontId="41" fillId="0" borderId="27" xfId="0" applyFont="1" applyBorder="1" applyAlignment="1"/>
    <xf numFmtId="0" fontId="0" fillId="0" borderId="16" xfId="0" applyBorder="1" applyAlignment="1"/>
    <xf numFmtId="0" fontId="49" fillId="17" borderId="1" xfId="6" applyFont="1" applyFill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0" fontId="0" fillId="2" borderId="1" xfId="0" applyFill="1" applyBorder="1" applyAlignment="1">
      <alignment horizontal="left"/>
    </xf>
  </cellXfs>
  <cellStyles count="8">
    <cellStyle name="Good" xfId="6" builtinId="26"/>
    <cellStyle name="Hyperlink" xfId="1" builtinId="8"/>
    <cellStyle name="Neutral" xfId="5" builtinId="28"/>
    <cellStyle name="Normal" xfId="0" builtinId="0"/>
    <cellStyle name="Output" xfId="7" builtinId="21"/>
    <cellStyle name="Standard 2" xfId="2" xr:uid="{00000000-0005-0000-0000-000002000000}"/>
    <cellStyle name="Standard 3" xfId="3" xr:uid="{00000000-0005-0000-0000-000003000000}"/>
    <cellStyle name="Standard 4" xfId="4" xr:uid="{00000000-0005-0000-0000-000004000000}"/>
  </cellStyles>
  <dxfs count="0"/>
  <tableStyles count="0" defaultTableStyle="TableStyleMedium2" defaultPivotStyle="PivotStyleLight16"/>
  <colors>
    <mruColors>
      <color rgb="FFD1FFFF"/>
      <color rgb="FF009999"/>
      <color rgb="FF33CCCC"/>
      <color rgb="FFFFCCCC"/>
      <color rgb="FF996633"/>
      <color rgb="FFCC0099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70</xdr:row>
      <xdr:rowOff>150280</xdr:rowOff>
    </xdr:from>
    <xdr:ext cx="1637756" cy="311496"/>
    <xdr:sp macro="" textlink="">
      <xdr:nvSpPr>
        <xdr:cNvPr id="97" name="Textfeld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 txBox="1"/>
      </xdr:nvSpPr>
      <xdr:spPr>
        <a:xfrm>
          <a:off x="8635980" y="14046197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3" name="Gruppieren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8407016" y="442543"/>
          <a:ext cx="3135379" cy="3276017"/>
          <a:chOff x="4101093" y="4350875"/>
          <a:chExt cx="3630403" cy="4335093"/>
        </a:xfrm>
      </xdr:grpSpPr>
      <xdr:sp macro="" textlink="">
        <xdr:nvSpPr>
          <xdr:cNvPr id="108" name="Textfeld 24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12" name="Gruppieren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20" name="Pfeil nach rechts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5" name="Rechtec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6" name="Pfeil nach rechts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1239860</xdr:colOff>
      <xdr:row>3</xdr:row>
      <xdr:rowOff>4082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163660" cy="543486"/>
        </a:xfrm>
        <a:prstGeom prst="rect">
          <a:avLst/>
        </a:prstGeom>
      </xdr:spPr>
    </xdr:pic>
    <xdr:clientData/>
  </xdr:twoCellAnchor>
  <xdr:oneCellAnchor>
    <xdr:from>
      <xdr:col>2</xdr:col>
      <xdr:colOff>0</xdr:colOff>
      <xdr:row>71</xdr:row>
      <xdr:rowOff>150280</xdr:rowOff>
    </xdr:from>
    <xdr:ext cx="1637756" cy="311496"/>
    <xdr:sp macro="" textlink="">
      <xdr:nvSpPr>
        <xdr:cNvPr id="10" name="Textfeld 96">
          <a:extLst>
            <a:ext uri="{FF2B5EF4-FFF2-40B4-BE49-F238E27FC236}">
              <a16:creationId xmlns:a16="http://schemas.microsoft.com/office/drawing/2014/main" id="{98F6B075-D95B-4723-B9F9-8F7536A6B076}"/>
            </a:ext>
          </a:extLst>
        </xdr:cNvPr>
        <xdr:cNvSpPr txBox="1"/>
      </xdr:nvSpPr>
      <xdr:spPr>
        <a:xfrm>
          <a:off x="7955280" y="14193940"/>
          <a:ext cx="1637756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de-DE" sz="1400" b="1">
              <a:solidFill>
                <a:schemeClr val="bg1"/>
              </a:solidFill>
            </a:rPr>
            <a:t>Black box approach</a:t>
          </a:r>
        </a:p>
      </xdr:txBody>
    </xdr:sp>
    <xdr:clientData/>
  </xdr:oneCellAnchor>
  <xdr:twoCellAnchor>
    <xdr:from>
      <xdr:col>2</xdr:col>
      <xdr:colOff>451736</xdr:colOff>
      <xdr:row>2</xdr:row>
      <xdr:rowOff>76783</xdr:rowOff>
    </xdr:from>
    <xdr:to>
      <xdr:col>7</xdr:col>
      <xdr:colOff>447675</xdr:colOff>
      <xdr:row>16</xdr:row>
      <xdr:rowOff>114300</xdr:rowOff>
    </xdr:to>
    <xdr:grpSp>
      <xdr:nvGrpSpPr>
        <xdr:cNvPr id="11" name="Gruppieren 112">
          <a:extLst>
            <a:ext uri="{FF2B5EF4-FFF2-40B4-BE49-F238E27FC236}">
              <a16:creationId xmlns:a16="http://schemas.microsoft.com/office/drawing/2014/main" id="{39368DB3-8DAE-442B-A64C-4614A8216AC1}"/>
            </a:ext>
          </a:extLst>
        </xdr:cNvPr>
        <xdr:cNvGrpSpPr/>
      </xdr:nvGrpSpPr>
      <xdr:grpSpPr>
        <a:xfrm>
          <a:off x="8407016" y="442543"/>
          <a:ext cx="3135379" cy="3276017"/>
          <a:chOff x="4101093" y="4350875"/>
          <a:chExt cx="3630403" cy="4335093"/>
        </a:xfrm>
      </xdr:grpSpPr>
      <xdr:sp macro="" textlink="">
        <xdr:nvSpPr>
          <xdr:cNvPr id="12" name="Textfeld 24">
            <a:extLst>
              <a:ext uri="{FF2B5EF4-FFF2-40B4-BE49-F238E27FC236}">
                <a16:creationId xmlns:a16="http://schemas.microsoft.com/office/drawing/2014/main" id="{3B2B4C22-EBF3-47EF-900C-8407DCFACC7F}"/>
              </a:ext>
            </a:extLst>
          </xdr:cNvPr>
          <xdr:cNvSpPr txBox="1"/>
        </xdr:nvSpPr>
        <xdr:spPr>
          <a:xfrm>
            <a:off x="4101093" y="4350875"/>
            <a:ext cx="3630403" cy="4335093"/>
          </a:xfrm>
          <a:prstGeom prst="rect">
            <a:avLst/>
          </a:prstGeom>
          <a:noFill/>
          <a:ln w="19050">
            <a:solidFill>
              <a:schemeClr val="tx1"/>
            </a:solidFill>
          </a:ln>
        </xdr:spPr>
        <xdr:txBody>
          <a:bodyPr wrap="square" rtlCol="0" anchor="t">
            <a:noAutofit/>
          </a:bodyPr>
          <a:lstStyle>
            <a:defPPr>
              <a:defRPr lang="de-D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de-DE" sz="1400" b="1">
                <a:latin typeface="+mn-lt"/>
                <a:cs typeface="Arial" pitchFamily="34" charset="0"/>
              </a:rPr>
              <a:t>PROCESS SCHEME</a:t>
            </a:r>
          </a:p>
        </xdr:txBody>
      </xdr:sp>
      <xdr:grpSp>
        <xdr:nvGrpSpPr>
          <xdr:cNvPr id="13" name="Gruppieren 111">
            <a:extLst>
              <a:ext uri="{FF2B5EF4-FFF2-40B4-BE49-F238E27FC236}">
                <a16:creationId xmlns:a16="http://schemas.microsoft.com/office/drawing/2014/main" id="{9C56D519-7DEE-48F9-87DE-9A79D4DE9947}"/>
              </a:ext>
            </a:extLst>
          </xdr:cNvPr>
          <xdr:cNvGrpSpPr/>
        </xdr:nvGrpSpPr>
        <xdr:grpSpPr>
          <a:xfrm>
            <a:off x="5057599" y="4874419"/>
            <a:ext cx="1719883" cy="3641128"/>
            <a:chOff x="5057599" y="4874419"/>
            <a:chExt cx="1719883" cy="3641128"/>
          </a:xfrm>
        </xdr:grpSpPr>
        <xdr:sp macro="" textlink="">
          <xdr:nvSpPr>
            <xdr:cNvPr id="14" name="Pfeil nach rechts 19">
              <a:extLst>
                <a:ext uri="{FF2B5EF4-FFF2-40B4-BE49-F238E27FC236}">
                  <a16:creationId xmlns:a16="http://schemas.microsoft.com/office/drawing/2014/main" id="{4173B650-D782-4CAB-A6AF-27293D604550}"/>
                </a:ext>
              </a:extLst>
            </xdr:cNvPr>
            <xdr:cNvSpPr/>
          </xdr:nvSpPr>
          <xdr:spPr>
            <a:xfrm rot="5400000">
              <a:off x="5248537" y="6993113"/>
              <a:ext cx="1334374" cy="1710493"/>
            </a:xfrm>
            <a:prstGeom prst="rightArrow">
              <a:avLst/>
            </a:prstGeom>
            <a:solidFill>
              <a:srgbClr val="C00000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 baseline="0">
                  <a:solidFill>
                    <a:schemeClr val="bg1"/>
                  </a:solidFill>
                </a:rPr>
                <a:t> Output</a:t>
              </a:r>
              <a:endParaRPr lang="de-DE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5" name="Rechteck 4">
              <a:extLst>
                <a:ext uri="{FF2B5EF4-FFF2-40B4-BE49-F238E27FC236}">
                  <a16:creationId xmlns:a16="http://schemas.microsoft.com/office/drawing/2014/main" id="{6A6B7FD8-0A36-43F4-96AC-740B7E31AD31}"/>
                </a:ext>
              </a:extLst>
            </xdr:cNvPr>
            <xdr:cNvSpPr/>
          </xdr:nvSpPr>
          <xdr:spPr>
            <a:xfrm>
              <a:off x="5201680" y="6269575"/>
              <a:ext cx="1440000" cy="784315"/>
            </a:xfrm>
            <a:prstGeom prst="rect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4">
                <a:shade val="50000"/>
              </a:schemeClr>
            </a:lnRef>
            <a:fillRef idx="1">
              <a:schemeClr val="accent4"/>
            </a:fillRef>
            <a:effectRef idx="0">
              <a:schemeClr val="accent4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de-DE" sz="1200" b="1">
                  <a:solidFill>
                    <a:schemeClr val="bg1"/>
                  </a:solidFill>
                </a:rPr>
                <a:t>Process</a:t>
              </a:r>
            </a:p>
          </xdr:txBody>
        </xdr:sp>
        <xdr:sp macro="" textlink="">
          <xdr:nvSpPr>
            <xdr:cNvPr id="17" name="Pfeil nach rechts 15">
              <a:extLst>
                <a:ext uri="{FF2B5EF4-FFF2-40B4-BE49-F238E27FC236}">
                  <a16:creationId xmlns:a16="http://schemas.microsoft.com/office/drawing/2014/main" id="{D306305A-BCAD-41D1-8FD9-F41CDC17A621}"/>
                </a:ext>
              </a:extLst>
            </xdr:cNvPr>
            <xdr:cNvSpPr/>
          </xdr:nvSpPr>
          <xdr:spPr>
            <a:xfrm rot="5400000">
              <a:off x="5261522" y="4670496"/>
              <a:ext cx="1312038" cy="1719883"/>
            </a:xfrm>
            <a:prstGeom prst="rightArrow">
              <a:avLst/>
            </a:prstGeom>
            <a:solidFill>
              <a:srgbClr val="009999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vert="vert270" rtlCol="0" anchor="ctr"/>
            <a:lstStyle/>
            <a:p>
              <a:pPr algn="ctr"/>
              <a:r>
                <a:rPr lang="de-DE" sz="1100" b="1">
                  <a:solidFill>
                    <a:schemeClr val="bg1"/>
                  </a:solidFill>
                </a:rPr>
                <a:t>Input</a:t>
              </a:r>
            </a:p>
          </xdr:txBody>
        </xdr:sp>
      </xdr:grpSp>
    </xdr:grpSp>
    <xdr:clientData/>
  </xdr:twoCellAnchor>
  <xdr:twoCellAnchor editAs="oneCell">
    <xdr:from>
      <xdr:col>0</xdr:col>
      <xdr:colOff>76200</xdr:colOff>
      <xdr:row>0</xdr:row>
      <xdr:rowOff>136871</xdr:rowOff>
    </xdr:from>
    <xdr:to>
      <xdr:col>0</xdr:col>
      <xdr:colOff>1514180</xdr:colOff>
      <xdr:row>3</xdr:row>
      <xdr:rowOff>118382</xdr:rowOff>
    </xdr:to>
    <xdr:pic>
      <xdr:nvPicPr>
        <xdr:cNvPr id="18" name="Grafik 8">
          <a:extLst>
            <a:ext uri="{FF2B5EF4-FFF2-40B4-BE49-F238E27FC236}">
              <a16:creationId xmlns:a16="http://schemas.microsoft.com/office/drawing/2014/main" id="{DE378C7A-C1E9-4D97-AAD6-11152F581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136871"/>
          <a:ext cx="1437980" cy="64445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101854</xdr:rowOff>
    </xdr:from>
    <xdr:to>
      <xdr:col>13</xdr:col>
      <xdr:colOff>17929</xdr:colOff>
      <xdr:row>31</xdr:row>
      <xdr:rowOff>156883</xdr:rowOff>
    </xdr:to>
    <xdr:sp macro="" textlink="">
      <xdr:nvSpPr>
        <xdr:cNvPr id="2" name="Rectangle avec flèche vers la droite 1">
          <a:extLst>
            <a:ext uri="{FF2B5EF4-FFF2-40B4-BE49-F238E27FC236}">
              <a16:creationId xmlns:a16="http://schemas.microsoft.com/office/drawing/2014/main" id="{AD05C2DD-69C1-43D5-922C-A482FAC5E405}"/>
            </a:ext>
          </a:extLst>
        </xdr:cNvPr>
        <xdr:cNvSpPr/>
      </xdr:nvSpPr>
      <xdr:spPr>
        <a:xfrm rot="5400000">
          <a:off x="8856508" y="-1869760"/>
          <a:ext cx="431547" cy="18144564"/>
        </a:xfrm>
        <a:prstGeom prst="rightArrowCallout">
          <a:avLst>
            <a:gd name="adj1" fmla="val 25000"/>
            <a:gd name="adj2" fmla="val 25000"/>
            <a:gd name="adj3" fmla="val 25000"/>
            <a:gd name="adj4" fmla="val 23906"/>
          </a:avLst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0</xdr:col>
      <xdr:colOff>0</xdr:colOff>
      <xdr:row>72</xdr:row>
      <xdr:rowOff>94754</xdr:rowOff>
    </xdr:from>
    <xdr:to>
      <xdr:col>13</xdr:col>
      <xdr:colOff>0</xdr:colOff>
      <xdr:row>74</xdr:row>
      <xdr:rowOff>176893</xdr:rowOff>
    </xdr:to>
    <xdr:sp macro="" textlink="">
      <xdr:nvSpPr>
        <xdr:cNvPr id="3" name="Rectangle avec flèche vers la droite 2">
          <a:extLst>
            <a:ext uri="{FF2B5EF4-FFF2-40B4-BE49-F238E27FC236}">
              <a16:creationId xmlns:a16="http://schemas.microsoft.com/office/drawing/2014/main" id="{0EEDEA91-3D49-4D95-8AAB-B5A540BA7539}"/>
            </a:ext>
          </a:extLst>
        </xdr:cNvPr>
        <xdr:cNvSpPr/>
      </xdr:nvSpPr>
      <xdr:spPr>
        <a:xfrm rot="5400000">
          <a:off x="8830369" y="4704893"/>
          <a:ext cx="445554" cy="18106292"/>
        </a:xfrm>
        <a:prstGeom prst="rightArrowCallout">
          <a:avLst>
            <a:gd name="adj1" fmla="val 25000"/>
            <a:gd name="adj2" fmla="val 26456"/>
            <a:gd name="adj3" fmla="val 25000"/>
            <a:gd name="adj4" fmla="val 23906"/>
          </a:avLst>
        </a:prstGeom>
        <a:solidFill>
          <a:srgbClr val="FF0000"/>
        </a:solidFill>
        <a:ln>
          <a:solidFill>
            <a:schemeClr val="bg1">
              <a:lumMod val="50000"/>
            </a:schemeClr>
          </a:solidFill>
        </a:ln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299197</xdr:colOff>
      <xdr:row>3</xdr:row>
      <xdr:rowOff>44826</xdr:rowOff>
    </xdr:from>
    <xdr:to>
      <xdr:col>7</xdr:col>
      <xdr:colOff>2360302</xdr:colOff>
      <xdr:row>6</xdr:row>
      <xdr:rowOff>240365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50BB3985-B0E8-4269-B1D3-19EA6A090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3009" y="941297"/>
          <a:ext cx="2652775" cy="13161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matmake.com/properties/density-of-polymers-and-plastics.html" TargetMode="External"/><Relationship Id="rId3" Type="http://schemas.openxmlformats.org/officeDocument/2006/relationships/hyperlink" Target="https://www.sciencedirect.com/science/article/pii/S0921344923003038" TargetMode="External"/><Relationship Id="rId7" Type="http://schemas.openxmlformats.org/officeDocument/2006/relationships/hyperlink" Target="https://doi.org/10.1016/j.jenvman.2020.110172" TargetMode="External"/><Relationship Id="rId12" Type="http://schemas.openxmlformats.org/officeDocument/2006/relationships/hyperlink" Target="https://material-properties.org/polyamide-nylon-density-strength-melting-point-thermal-conductivity/" TargetMode="External"/><Relationship Id="rId2" Type="http://schemas.openxmlformats.org/officeDocument/2006/relationships/hyperlink" Target="https://www.researchgate.net/publication/366198601_Carbon_Footprint_of_Single-Use_Plastic_Items_and_Their_Substitution" TargetMode="External"/><Relationship Id="rId1" Type="http://schemas.openxmlformats.org/officeDocument/2006/relationships/hyperlink" Target="https://www.researchgate.net/publication/366198601_Carbon_Footprint_of_Single-Use_Plastic_Items_and_Their_Substitution" TargetMode="External"/><Relationship Id="rId6" Type="http://schemas.openxmlformats.org/officeDocument/2006/relationships/hyperlink" Target="https://doi.org/10.3390/su11216000" TargetMode="External"/><Relationship Id="rId11" Type="http://schemas.openxmlformats.org/officeDocument/2006/relationships/hyperlink" Target="https://matmake.com/materials-data/polyurethane-properties.html" TargetMode="External"/><Relationship Id="rId5" Type="http://schemas.openxmlformats.org/officeDocument/2006/relationships/hyperlink" Target="https://doi.org/10.1007/BF02978888" TargetMode="External"/><Relationship Id="rId10" Type="http://schemas.openxmlformats.org/officeDocument/2006/relationships/hyperlink" Target="https://materials.fsri.org/materialdetail/polypropylene-pp" TargetMode="External"/><Relationship Id="rId4" Type="http://schemas.openxmlformats.org/officeDocument/2006/relationships/hyperlink" Target="https://www.sciencedirect.com/science/article/pii/S0921344923003038" TargetMode="External"/><Relationship Id="rId9" Type="http://schemas.openxmlformats.org/officeDocument/2006/relationships/hyperlink" Target="https://material-properties.org/pet-density-strength-melting-point-thermal-conductivity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W104"/>
  <sheetViews>
    <sheetView tabSelected="1" zoomScaleNormal="100" workbookViewId="0">
      <selection activeCell="W16" sqref="W16"/>
    </sheetView>
  </sheetViews>
  <sheetFormatPr defaultColWidth="10.88671875" defaultRowHeight="14.4" x14ac:dyDescent="0.3"/>
  <cols>
    <col min="1" max="1" width="30.109375" customWidth="1"/>
    <col min="2" max="2" width="85.88671875" customWidth="1"/>
    <col min="3" max="3" width="13" bestFit="1" customWidth="1"/>
    <col min="4" max="4" width="5.5546875" bestFit="1" customWidth="1"/>
    <col min="5" max="5" width="7.33203125" bestFit="1" customWidth="1"/>
    <col min="6" max="6" width="9" bestFit="1" customWidth="1"/>
  </cols>
  <sheetData>
    <row r="1" spans="1:23" s="1" customFormat="1" x14ac:dyDescent="0.3"/>
    <row r="2" spans="1:23" s="1" customFormat="1" x14ac:dyDescent="0.3"/>
    <row r="3" spans="1:23" s="1" customFormat="1" ht="23.4" x14ac:dyDescent="0.45">
      <c r="A3" s="12"/>
      <c r="B3" s="56" t="s">
        <v>0</v>
      </c>
    </row>
    <row r="4" spans="1:23" ht="15" customHeight="1" x14ac:dyDescent="0.35">
      <c r="A4" s="1"/>
      <c r="B4" s="1"/>
      <c r="C4" s="1"/>
      <c r="D4" s="1"/>
      <c r="E4" s="1"/>
      <c r="F4" s="1"/>
      <c r="G4" s="11"/>
      <c r="H4" s="5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ht="18" x14ac:dyDescent="0.35">
      <c r="A5" s="156" t="s">
        <v>1</v>
      </c>
      <c r="B5" s="157"/>
      <c r="C5" s="1"/>
      <c r="D5" s="1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ht="18" x14ac:dyDescent="0.35">
      <c r="A6" s="158"/>
      <c r="B6" s="159"/>
      <c r="C6" s="1"/>
      <c r="D6" s="1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ht="21" x14ac:dyDescent="0.3">
      <c r="A7" s="160" t="s">
        <v>2</v>
      </c>
      <c r="B7" s="161" t="s">
        <v>3</v>
      </c>
      <c r="C7" s="1"/>
      <c r="D7" s="1"/>
      <c r="E7" s="1"/>
      <c r="F7" s="1"/>
      <c r="G7" s="1"/>
      <c r="H7" s="1"/>
      <c r="I7" s="16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ht="21" x14ac:dyDescent="0.3">
      <c r="A8" s="160" t="s">
        <v>4</v>
      </c>
      <c r="B8" s="163"/>
      <c r="C8" s="1"/>
      <c r="D8" s="1"/>
      <c r="E8" s="1"/>
      <c r="F8" s="1"/>
      <c r="G8" s="1"/>
      <c r="H8" s="1"/>
      <c r="I8" s="162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ht="15.6" x14ac:dyDescent="0.3">
      <c r="A9" s="160" t="s">
        <v>5</v>
      </c>
      <c r="B9" s="161"/>
      <c r="C9" s="1"/>
      <c r="D9" s="1"/>
      <c r="E9" s="1"/>
      <c r="F9" s="1"/>
      <c r="G9" s="1"/>
      <c r="H9" s="1"/>
      <c r="I9" s="164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ht="18" x14ac:dyDescent="0.3">
      <c r="A10" s="160"/>
      <c r="B10" s="28"/>
      <c r="C10" s="1"/>
      <c r="D10" s="1"/>
      <c r="E10" s="1"/>
      <c r="F10" s="1"/>
      <c r="G10" s="1"/>
      <c r="H10" s="1"/>
      <c r="I10" s="165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ht="18" x14ac:dyDescent="0.3">
      <c r="A11" s="156" t="s">
        <v>6</v>
      </c>
      <c r="B11" s="157"/>
      <c r="C11" s="1"/>
      <c r="D11" s="1"/>
      <c r="E11" s="1"/>
      <c r="F11" s="1"/>
      <c r="G11" s="1"/>
      <c r="H11" s="1"/>
      <c r="I11" s="165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ht="18" x14ac:dyDescent="0.3">
      <c r="A12" s="158"/>
      <c r="B12" s="159"/>
      <c r="C12" s="1"/>
      <c r="D12" s="1"/>
      <c r="E12" s="1"/>
      <c r="F12" s="1"/>
      <c r="G12" s="1"/>
      <c r="H12" s="1"/>
      <c r="I12" s="165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ht="18" x14ac:dyDescent="0.3">
      <c r="A13" s="166" t="s">
        <v>7</v>
      </c>
      <c r="B13" s="14"/>
      <c r="C13" s="1"/>
      <c r="D13" s="1"/>
      <c r="E13" s="1"/>
      <c r="F13" s="1"/>
      <c r="G13" s="1"/>
      <c r="H13" s="1"/>
      <c r="I13" s="165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ht="18" x14ac:dyDescent="0.35">
      <c r="A14" s="1" t="s">
        <v>8</v>
      </c>
      <c r="B14" s="24" t="s">
        <v>9</v>
      </c>
      <c r="C14" s="1"/>
      <c r="D14" s="1"/>
      <c r="E14" s="1"/>
      <c r="F14" s="1"/>
      <c r="G14" s="1"/>
      <c r="H14" s="1"/>
      <c r="I14" s="5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ht="15" customHeight="1" x14ac:dyDescent="0.3">
      <c r="A15" s="5"/>
      <c r="B15" s="1"/>
      <c r="C15" s="1"/>
      <c r="D15" s="1"/>
      <c r="E15" s="1"/>
      <c r="F15" s="1"/>
      <c r="G15" s="1"/>
      <c r="H15" s="1"/>
      <c r="I15" s="165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ht="18" x14ac:dyDescent="0.3">
      <c r="A16" s="156" t="s">
        <v>10</v>
      </c>
      <c r="B16" s="157"/>
      <c r="C16" s="1"/>
      <c r="D16" s="1"/>
      <c r="E16" s="1"/>
      <c r="F16" s="1"/>
      <c r="G16" s="1"/>
      <c r="H16" s="1"/>
      <c r="I16" s="165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ht="18" x14ac:dyDescent="0.3">
      <c r="A17" s="158"/>
      <c r="B17" s="159"/>
      <c r="C17" s="1"/>
      <c r="D17" s="1"/>
      <c r="E17" s="1"/>
      <c r="F17" s="1"/>
      <c r="G17" s="1"/>
      <c r="H17" s="1"/>
      <c r="I17" s="165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s="191" customFormat="1" ht="18" x14ac:dyDescent="0.3">
      <c r="A18" s="188" t="s">
        <v>11</v>
      </c>
      <c r="B18" s="189" t="s">
        <v>12</v>
      </c>
      <c r="C18" s="176"/>
      <c r="D18" s="176"/>
      <c r="E18" s="176"/>
      <c r="F18" s="176"/>
      <c r="G18" s="176"/>
      <c r="H18" s="176"/>
      <c r="I18" s="190"/>
      <c r="J18" s="176"/>
      <c r="K18" s="176"/>
      <c r="L18" s="176"/>
      <c r="M18" s="176"/>
      <c r="N18" s="176"/>
      <c r="O18" s="176"/>
      <c r="P18" s="176"/>
      <c r="Q18" s="176"/>
      <c r="R18" s="176"/>
      <c r="S18" s="176"/>
      <c r="T18" s="176"/>
      <c r="U18" s="176"/>
      <c r="V18" s="176"/>
      <c r="W18" s="176"/>
    </row>
    <row r="19" spans="1:23" s="191" customFormat="1" ht="18" x14ac:dyDescent="0.35">
      <c r="A19" s="176" t="s">
        <v>13</v>
      </c>
      <c r="B19" s="192" t="s">
        <v>14</v>
      </c>
      <c r="C19" s="176"/>
      <c r="D19" s="176"/>
      <c r="E19" s="176"/>
      <c r="F19" s="176"/>
      <c r="G19" s="176"/>
      <c r="H19" s="176"/>
      <c r="I19" s="193"/>
      <c r="J19" s="176"/>
      <c r="K19" s="176"/>
      <c r="L19" s="176"/>
      <c r="M19" s="176"/>
      <c r="N19" s="176"/>
      <c r="O19" s="176"/>
      <c r="P19" s="176"/>
      <c r="Q19" s="176"/>
      <c r="R19" s="176"/>
      <c r="S19" s="176"/>
      <c r="T19" s="176"/>
      <c r="U19" s="176"/>
      <c r="V19" s="176"/>
      <c r="W19" s="176"/>
    </row>
    <row r="20" spans="1:23" ht="15" customHeight="1" x14ac:dyDescent="0.3">
      <c r="A20" s="5"/>
      <c r="B20" s="1"/>
      <c r="C20" s="1"/>
      <c r="D20" s="1"/>
      <c r="E20" s="1"/>
      <c r="F20" s="1"/>
      <c r="G20" s="1"/>
      <c r="H20" s="1"/>
      <c r="I20" s="165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214" t="s">
        <v>15</v>
      </c>
      <c r="B21" s="66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71"/>
      <c r="B22" s="70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65" t="s">
        <v>16</v>
      </c>
      <c r="B23" s="66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1" t="s">
        <v>17</v>
      </c>
      <c r="B24" s="6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1" t="s">
        <v>18</v>
      </c>
      <c r="B25" s="6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72"/>
      <c r="B26" s="70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65" t="s">
        <v>19</v>
      </c>
      <c r="B27" s="6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1" t="s">
        <v>20</v>
      </c>
      <c r="B28" s="6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1" t="s">
        <v>21</v>
      </c>
      <c r="B29" s="6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1" t="s">
        <v>22</v>
      </c>
      <c r="B30" s="6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69"/>
      <c r="B31" s="70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65" t="s">
        <v>23</v>
      </c>
      <c r="B32" s="66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1" t="s">
        <v>24</v>
      </c>
      <c r="B33" s="6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1" t="s">
        <v>25</v>
      </c>
      <c r="B34" s="6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1" t="s">
        <v>26</v>
      </c>
      <c r="B35" s="6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73"/>
      <c r="B36" s="70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65" t="s">
        <v>27</v>
      </c>
      <c r="B37" s="66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67" t="s">
        <v>28</v>
      </c>
      <c r="B38" s="6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67" t="s">
        <v>29</v>
      </c>
      <c r="B39" s="6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67" t="s">
        <v>30</v>
      </c>
      <c r="B40" s="6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71"/>
      <c r="B41" s="70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ht="1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ht="1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ht="1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ht="15.7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s="10" customFormat="1" ht="15.75" customHeight="1" x14ac:dyDescent="0.3">
      <c r="A55" s="1"/>
      <c r="B55" s="1"/>
      <c r="C55" s="1"/>
      <c r="D55" s="1"/>
      <c r="E55" s="1"/>
      <c r="F55" s="1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</row>
    <row r="56" spans="1:23" s="10" customFormat="1" ht="15.6" x14ac:dyDescent="0.3">
      <c r="A56" s="1"/>
      <c r="B56" s="1"/>
      <c r="C56" s="1"/>
      <c r="D56" s="1"/>
      <c r="E56" s="1"/>
      <c r="F56" s="1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</row>
    <row r="57" spans="1:23" s="10" customFormat="1" ht="15.6" x14ac:dyDescent="0.3">
      <c r="A57" s="1"/>
      <c r="B57" s="1"/>
      <c r="C57" s="1"/>
      <c r="D57" s="1"/>
      <c r="E57" s="1"/>
      <c r="F57" s="1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</row>
    <row r="58" spans="1:23" s="10" customFormat="1" ht="15.6" x14ac:dyDescent="0.3">
      <c r="A58" s="8"/>
      <c r="B58" s="9"/>
      <c r="C58" s="9"/>
      <c r="D58" s="9"/>
      <c r="E58" s="9"/>
      <c r="F58" s="9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</row>
    <row r="59" spans="1:23" ht="15.6" x14ac:dyDescent="0.3">
      <c r="A59" s="8"/>
      <c r="B59" s="8"/>
      <c r="C59" s="8"/>
      <c r="D59" s="8"/>
      <c r="E59" s="8"/>
      <c r="F59" s="8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ht="15.6" x14ac:dyDescent="0.3">
      <c r="A60" s="8"/>
      <c r="B60" s="8"/>
      <c r="C60" s="8"/>
      <c r="D60" s="8"/>
      <c r="E60" s="8"/>
      <c r="F60" s="8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ht="15.6" x14ac:dyDescent="0.3">
      <c r="A61" s="8"/>
      <c r="B61" s="8"/>
      <c r="C61" s="8"/>
      <c r="D61" s="8"/>
      <c r="E61" s="8"/>
      <c r="F61" s="8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ht="18" x14ac:dyDescent="0.35">
      <c r="A65" s="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ht="18" x14ac:dyDescent="0.35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</row>
    <row r="93" spans="1:23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</row>
    <row r="94" spans="1:23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</row>
    <row r="95" spans="1:23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</row>
    <row r="102" spans="1:23" x14ac:dyDescent="0.3">
      <c r="A102" s="1"/>
      <c r="B102" s="1"/>
      <c r="C102" s="1"/>
      <c r="D102" s="1"/>
      <c r="E102" s="1"/>
      <c r="F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</row>
    <row r="103" spans="1:23" x14ac:dyDescent="0.3">
      <c r="A103" s="1"/>
      <c r="B103" s="1"/>
      <c r="C103" s="1"/>
      <c r="D103" s="1"/>
      <c r="E103" s="1"/>
      <c r="F103" s="1"/>
    </row>
    <row r="104" spans="1:23" x14ac:dyDescent="0.3">
      <c r="A104" s="1"/>
      <c r="B104" s="1"/>
      <c r="C104" s="1"/>
      <c r="D104" s="1"/>
      <c r="E104" s="1"/>
      <c r="F104" s="1"/>
    </row>
  </sheetData>
  <pageMargins left="0.7" right="0.7" top="0.78740157499999996" bottom="0.78740157499999996" header="0.3" footer="0.3"/>
  <pageSetup paperSize="9" scale="48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23BFA-EFD5-4C2F-AB5E-901747523CBC}">
  <sheetPr codeName="Tabelle2"/>
  <dimension ref="A1:X129"/>
  <sheetViews>
    <sheetView zoomScaleNormal="100" workbookViewId="0">
      <selection activeCell="Y14" sqref="Y14"/>
    </sheetView>
  </sheetViews>
  <sheetFormatPr defaultColWidth="11.44140625" defaultRowHeight="14.4" outlineLevelRow="2" x14ac:dyDescent="0.3"/>
  <cols>
    <col min="1" max="1" width="57.44140625" style="1" customWidth="1"/>
    <col min="2" max="2" width="37.88671875" style="3" customWidth="1"/>
    <col min="3" max="3" width="38.88671875" style="1" bestFit="1" customWidth="1"/>
    <col min="4" max="4" width="12.109375" style="6" bestFit="1" customWidth="1"/>
    <col min="5" max="5" width="8.6640625" style="6" bestFit="1" customWidth="1"/>
    <col min="6" max="6" width="9.6640625" style="6" customWidth="1"/>
    <col min="7" max="7" width="8.6640625" style="6" customWidth="1"/>
    <col min="8" max="8" width="37.88671875" style="6" customWidth="1"/>
    <col min="9" max="9" width="29.44140625" style="6" bestFit="1" customWidth="1"/>
    <col min="10" max="10" width="5.5546875" style="6" bestFit="1" customWidth="1"/>
    <col min="11" max="11" width="10.109375" style="6" bestFit="1" customWidth="1"/>
    <col min="12" max="12" width="13.33203125" style="6" bestFit="1" customWidth="1"/>
    <col min="13" max="13" width="6.5546875" style="6" bestFit="1" customWidth="1"/>
    <col min="14" max="14" width="10" style="6" customWidth="1"/>
    <col min="15" max="15" width="31.33203125" style="6" bestFit="1" customWidth="1"/>
    <col min="16" max="16" width="16" style="6" bestFit="1" customWidth="1"/>
    <col min="17" max="17" width="7" style="6" bestFit="1" customWidth="1"/>
    <col min="18" max="18" width="11.6640625" style="6" bestFit="1" customWidth="1"/>
    <col min="19" max="19" width="17.44140625" style="6" customWidth="1"/>
    <col min="20" max="20" width="7" style="1" bestFit="1" customWidth="1"/>
    <col min="21" max="21" width="12.88671875" style="1" customWidth="1"/>
    <col min="22" max="16384" width="11.44140625" style="1"/>
  </cols>
  <sheetData>
    <row r="1" spans="1:24" ht="23.4" x14ac:dyDescent="0.45">
      <c r="A1" s="17"/>
      <c r="B1" s="5"/>
    </row>
    <row r="2" spans="1:24" s="8" customFormat="1" ht="23.4" x14ac:dyDescent="0.45">
      <c r="A2" s="56" t="s">
        <v>16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51"/>
      <c r="O2" s="27"/>
      <c r="P2" s="27"/>
      <c r="Q2" s="27"/>
      <c r="R2" s="27"/>
    </row>
    <row r="3" spans="1:24" s="8" customFormat="1" ht="24" thickBot="1" x14ac:dyDescent="0.45">
      <c r="A3" s="40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51"/>
      <c r="O3" s="27"/>
      <c r="P3" s="27"/>
      <c r="Q3" s="27"/>
      <c r="R3" s="27"/>
    </row>
    <row r="4" spans="1:24" s="8" customFormat="1" ht="51.75" customHeight="1" thickBot="1" x14ac:dyDescent="0.35">
      <c r="A4" s="58" t="s">
        <v>19</v>
      </c>
      <c r="B4" s="59"/>
      <c r="C4" s="60"/>
      <c r="D4" s="25"/>
      <c r="E4" s="25"/>
      <c r="F4" s="25"/>
      <c r="G4" s="25"/>
      <c r="H4" s="25"/>
      <c r="I4" s="25"/>
      <c r="J4" s="25"/>
      <c r="K4" s="25"/>
      <c r="L4" s="25"/>
      <c r="M4" s="25"/>
      <c r="N4" s="52"/>
      <c r="P4" s="53"/>
      <c r="Q4" s="27"/>
    </row>
    <row r="5" spans="1:24" s="8" customFormat="1" ht="18.600000000000001" thickBot="1" x14ac:dyDescent="0.4">
      <c r="A5" s="54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P5" s="27"/>
      <c r="Q5" s="27"/>
      <c r="R5" s="27"/>
    </row>
    <row r="6" spans="1:24" s="8" customFormat="1" ht="18.600000000000001" thickBot="1" x14ac:dyDescent="0.35">
      <c r="A6" s="57" t="s">
        <v>31</v>
      </c>
      <c r="B6" s="284" t="s">
        <v>32</v>
      </c>
      <c r="C6" s="285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P6" s="27"/>
      <c r="Q6" s="27"/>
      <c r="R6" s="27"/>
    </row>
    <row r="7" spans="1:24" s="8" customFormat="1" ht="36" customHeight="1" thickBot="1" x14ac:dyDescent="0.5">
      <c r="A7" s="57" t="s">
        <v>33</v>
      </c>
      <c r="B7" s="55" t="s">
        <v>34</v>
      </c>
      <c r="C7" s="185"/>
      <c r="D7" s="26"/>
      <c r="I7" s="26"/>
      <c r="N7" s="27"/>
      <c r="O7" s="56" t="s">
        <v>23</v>
      </c>
    </row>
    <row r="8" spans="1:24" s="8" customFormat="1" ht="15.6" x14ac:dyDescent="0.3">
      <c r="A8" s="5" t="s">
        <v>35</v>
      </c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8" t="s">
        <v>36</v>
      </c>
    </row>
    <row r="9" spans="1:24" s="8" customFormat="1" ht="18" x14ac:dyDescent="0.35">
      <c r="A9" s="61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125"/>
      <c r="P9" s="78"/>
      <c r="Q9" s="78"/>
      <c r="R9" s="27"/>
    </row>
    <row r="10" spans="1:24" ht="18.600000000000001" thickBot="1" x14ac:dyDescent="0.4">
      <c r="B10" s="1"/>
      <c r="O10" s="79" t="s">
        <v>37</v>
      </c>
      <c r="P10" s="79" t="s">
        <v>38</v>
      </c>
      <c r="Q10" s="79" t="s">
        <v>39</v>
      </c>
      <c r="R10" s="79"/>
      <c r="S10" s="79" t="s">
        <v>40</v>
      </c>
      <c r="T10" s="79" t="s">
        <v>41</v>
      </c>
      <c r="U10" s="79"/>
      <c r="V10" s="79"/>
      <c r="W10" s="79"/>
      <c r="X10" s="79"/>
    </row>
    <row r="11" spans="1:24" ht="24" thickBot="1" x14ac:dyDescent="0.5">
      <c r="A11" s="186" t="s">
        <v>42</v>
      </c>
      <c r="B11" s="270"/>
      <c r="C11" s="186" t="s">
        <v>43</v>
      </c>
      <c r="D11" s="270"/>
      <c r="M11" s="30"/>
      <c r="V11" s="6"/>
    </row>
    <row r="12" spans="1:24" ht="18.600000000000001" thickBot="1" x14ac:dyDescent="0.4">
      <c r="A12" s="106" t="s">
        <v>44</v>
      </c>
      <c r="B12" s="107"/>
      <c r="C12" s="107"/>
      <c r="D12" s="107"/>
      <c r="E12" s="107"/>
      <c r="F12" s="107"/>
      <c r="G12" s="107"/>
      <c r="H12" s="107"/>
      <c r="I12" s="286" t="s">
        <v>45</v>
      </c>
      <c r="J12" s="287"/>
      <c r="K12" s="287"/>
      <c r="L12" s="287"/>
      <c r="M12" s="288"/>
      <c r="O12" s="78" t="s">
        <v>37</v>
      </c>
      <c r="P12" s="78" t="str">
        <f>P10</f>
        <v>monetary_value</v>
      </c>
      <c r="Q12" s="78" t="str">
        <f t="shared" ref="Q12:T12" si="0">Q10</f>
        <v>EUR</v>
      </c>
      <c r="R12" s="78"/>
      <c r="S12" s="78" t="str">
        <f t="shared" si="0"/>
        <v>climate_change_total</v>
      </c>
      <c r="T12" s="78" t="str">
        <f t="shared" si="0"/>
        <v>kg CO2-eq</v>
      </c>
      <c r="U12" s="78"/>
      <c r="V12" s="78"/>
      <c r="W12" s="78"/>
      <c r="X12" s="78"/>
    </row>
    <row r="13" spans="1:24" ht="18.600000000000001" thickBot="1" x14ac:dyDescent="0.4">
      <c r="A13" s="119" t="s">
        <v>46</v>
      </c>
      <c r="B13" s="103" t="s">
        <v>47</v>
      </c>
      <c r="C13" s="104" t="s">
        <v>48</v>
      </c>
      <c r="D13" s="104" t="s">
        <v>49</v>
      </c>
      <c r="E13" s="104" t="s">
        <v>50</v>
      </c>
      <c r="F13" s="105" t="s">
        <v>51</v>
      </c>
      <c r="G13" s="105" t="s">
        <v>52</v>
      </c>
      <c r="H13" s="200" t="s">
        <v>53</v>
      </c>
      <c r="I13" s="198" t="s">
        <v>54</v>
      </c>
      <c r="J13" s="198" t="s">
        <v>50</v>
      </c>
      <c r="K13" s="201" t="s">
        <v>31</v>
      </c>
      <c r="L13" s="199" t="s">
        <v>48</v>
      </c>
      <c r="M13" s="203" t="s">
        <v>55</v>
      </c>
      <c r="N13" s="1"/>
      <c r="O13" s="131" t="s">
        <v>56</v>
      </c>
      <c r="P13" s="132" t="s">
        <v>57</v>
      </c>
      <c r="Q13" s="132" t="s">
        <v>58</v>
      </c>
      <c r="R13" s="132" t="s">
        <v>53</v>
      </c>
      <c r="S13" s="132" t="s">
        <v>57</v>
      </c>
      <c r="T13" s="132" t="s">
        <v>58</v>
      </c>
      <c r="U13" s="132" t="s">
        <v>53</v>
      </c>
      <c r="V13" s="132"/>
      <c r="W13" s="132"/>
      <c r="X13" s="132"/>
    </row>
    <row r="14" spans="1:24" ht="41.1" customHeight="1" x14ac:dyDescent="0.3">
      <c r="A14" s="126" t="s">
        <v>59</v>
      </c>
      <c r="B14" s="127" t="s">
        <v>60</v>
      </c>
      <c r="C14" s="121" t="s">
        <v>61</v>
      </c>
      <c r="D14" s="120" t="s">
        <v>62</v>
      </c>
      <c r="E14" s="147" t="s">
        <v>63</v>
      </c>
      <c r="F14" s="148" t="s">
        <v>64</v>
      </c>
      <c r="G14" s="148" t="s">
        <v>65</v>
      </c>
      <c r="H14" s="184" t="s">
        <v>66</v>
      </c>
      <c r="I14" s="196"/>
      <c r="J14" s="197"/>
      <c r="K14" s="202"/>
      <c r="L14" s="197"/>
      <c r="M14" s="194"/>
      <c r="N14" s="4"/>
      <c r="O14" s="155" t="s">
        <v>67</v>
      </c>
      <c r="P14" s="155" t="s">
        <v>68</v>
      </c>
      <c r="Q14" s="155" t="s">
        <v>63</v>
      </c>
      <c r="R14" s="155" t="s">
        <v>66</v>
      </c>
      <c r="S14" s="155" t="s">
        <v>69</v>
      </c>
      <c r="T14" s="155" t="s">
        <v>63</v>
      </c>
      <c r="U14" s="155" t="s">
        <v>66</v>
      </c>
      <c r="V14" s="155"/>
      <c r="W14" s="155"/>
      <c r="X14" s="155"/>
    </row>
    <row r="15" spans="1:24" ht="15" customHeight="1" x14ac:dyDescent="0.3">
      <c r="A15" s="216" t="s">
        <v>70</v>
      </c>
      <c r="B15"/>
      <c r="C15" s="13"/>
      <c r="D15" s="95"/>
      <c r="E15" s="19"/>
      <c r="F15" s="19"/>
      <c r="G15" s="19"/>
      <c r="H15" t="s">
        <v>466</v>
      </c>
      <c r="I15" s="169"/>
      <c r="J15" s="170"/>
      <c r="K15" s="215"/>
      <c r="L15" s="221"/>
      <c r="M15" s="183"/>
      <c r="N15" s="4"/>
      <c r="O15" s="150" t="str">
        <f>IF(B15="","",B15)</f>
        <v/>
      </c>
      <c r="P15" s="151"/>
      <c r="Q15" s="150" t="str">
        <f>IF(P15&lt;&gt;0,Q$12,"")</f>
        <v/>
      </c>
      <c r="R15" s="77"/>
      <c r="S15" s="152"/>
      <c r="T15" s="153" t="str">
        <f>IF(S15&lt;&gt;0,T$12,"")</f>
        <v/>
      </c>
      <c r="U15" s="154"/>
      <c r="V15" s="152"/>
      <c r="W15" s="153"/>
      <c r="X15" s="154"/>
    </row>
    <row r="16" spans="1:24" ht="15" customHeight="1" outlineLevel="1" x14ac:dyDescent="0.3">
      <c r="A16" s="216" t="s">
        <v>70</v>
      </c>
      <c r="B16" s="118"/>
      <c r="C16" s="13"/>
      <c r="D16" s="19"/>
      <c r="E16" s="19"/>
      <c r="F16" s="88"/>
      <c r="G16" s="88"/>
      <c r="H16" s="87"/>
      <c r="I16" s="170"/>
      <c r="J16" s="170"/>
      <c r="K16" s="215"/>
      <c r="L16" s="170"/>
      <c r="M16" s="195"/>
      <c r="N16" s="4"/>
      <c r="O16" s="39" t="str">
        <f t="shared" ref="O16:O18" si="1">IF(B16="","",B16)</f>
        <v/>
      </c>
      <c r="P16" s="84"/>
      <c r="Q16" s="39" t="str">
        <f t="shared" ref="Q16:Q29" si="2">IF(P16&lt;&gt;0,Q$12,"")</f>
        <v/>
      </c>
      <c r="R16" s="33"/>
      <c r="S16" s="32"/>
      <c r="T16" s="19" t="str">
        <f t="shared" ref="T16:T29" si="3">IF(S16&lt;&gt;0,T$12,"")</f>
        <v/>
      </c>
      <c r="U16" s="38"/>
      <c r="V16" s="32"/>
      <c r="W16" s="19"/>
      <c r="X16" s="38"/>
    </row>
    <row r="17" spans="1:24" ht="15" customHeight="1" outlineLevel="1" x14ac:dyDescent="0.3">
      <c r="A17" s="216" t="s">
        <v>70</v>
      </c>
      <c r="B17" s="118"/>
      <c r="C17" s="13"/>
      <c r="D17" s="19"/>
      <c r="E17" s="19"/>
      <c r="F17" s="88"/>
      <c r="G17" s="88"/>
      <c r="H17" s="89"/>
      <c r="I17" s="170"/>
      <c r="J17" s="170"/>
      <c r="K17" s="215"/>
      <c r="L17" s="170"/>
      <c r="M17" s="195"/>
      <c r="N17" s="4"/>
      <c r="O17" s="39" t="str">
        <f t="shared" si="1"/>
        <v/>
      </c>
      <c r="P17" s="84"/>
      <c r="Q17" s="39"/>
      <c r="R17" s="76"/>
      <c r="S17" s="74"/>
      <c r="T17" s="19" t="str">
        <f t="shared" si="3"/>
        <v/>
      </c>
      <c r="U17" s="38"/>
      <c r="V17" s="74"/>
      <c r="W17" s="19"/>
      <c r="X17" s="38"/>
    </row>
    <row r="18" spans="1:24" outlineLevel="1" x14ac:dyDescent="0.3">
      <c r="A18" s="216" t="s">
        <v>70</v>
      </c>
      <c r="B18" s="118"/>
      <c r="C18" s="13"/>
      <c r="D18" s="19"/>
      <c r="E18" s="19"/>
      <c r="F18" s="88"/>
      <c r="G18" s="88"/>
      <c r="H18" s="87"/>
      <c r="I18" s="170"/>
      <c r="J18" s="170"/>
      <c r="K18" s="171"/>
      <c r="L18" s="170"/>
      <c r="M18" s="195"/>
      <c r="N18" s="4"/>
      <c r="O18" s="39" t="str">
        <f t="shared" si="1"/>
        <v/>
      </c>
      <c r="P18" s="84"/>
      <c r="Q18" s="39" t="str">
        <f t="shared" si="2"/>
        <v/>
      </c>
      <c r="R18" s="76"/>
      <c r="S18" s="74"/>
      <c r="T18" s="19" t="str">
        <f t="shared" si="3"/>
        <v/>
      </c>
      <c r="U18" s="38"/>
      <c r="V18" s="74"/>
      <c r="W18" s="19"/>
      <c r="X18" s="38"/>
    </row>
    <row r="19" spans="1:24" x14ac:dyDescent="0.3">
      <c r="A19" s="216" t="s">
        <v>71</v>
      </c>
      <c r="B19" s="118"/>
      <c r="C19" s="13"/>
      <c r="D19" s="19"/>
      <c r="E19" s="19"/>
      <c r="F19" s="80"/>
      <c r="G19" s="80"/>
      <c r="H19" s="89"/>
      <c r="I19" s="170"/>
      <c r="J19" s="170"/>
      <c r="K19" s="171"/>
      <c r="L19" s="170"/>
      <c r="M19" s="195"/>
      <c r="N19" s="4"/>
      <c r="O19" s="39" t="str">
        <f>IF(B19="","",B19)</f>
        <v/>
      </c>
      <c r="P19" s="84"/>
      <c r="Q19" s="39" t="str">
        <f t="shared" si="2"/>
        <v/>
      </c>
      <c r="R19" s="76"/>
      <c r="S19" s="74"/>
      <c r="T19" s="19" t="str">
        <f t="shared" si="3"/>
        <v/>
      </c>
      <c r="U19" s="38"/>
      <c r="V19" s="74"/>
      <c r="W19" s="19"/>
      <c r="X19" s="38"/>
    </row>
    <row r="20" spans="1:24" x14ac:dyDescent="0.3">
      <c r="A20" s="216" t="s">
        <v>71</v>
      </c>
      <c r="B20" s="118"/>
      <c r="C20" s="13"/>
      <c r="D20" s="136"/>
      <c r="E20" s="19"/>
      <c r="F20" s="80"/>
      <c r="G20" s="80"/>
      <c r="H20" s="89"/>
      <c r="I20" s="171"/>
      <c r="J20" s="170"/>
      <c r="K20" s="171"/>
      <c r="L20" s="170"/>
      <c r="M20" s="195"/>
      <c r="N20" s="4"/>
      <c r="O20" s="39" t="str">
        <f t="shared" ref="O20:O26" si="4">IF(B20="","",B20)</f>
        <v/>
      </c>
      <c r="P20" s="84"/>
      <c r="Q20" s="39" t="str">
        <f t="shared" si="2"/>
        <v/>
      </c>
      <c r="R20" s="35"/>
      <c r="S20" s="34"/>
      <c r="T20" s="19" t="str">
        <f t="shared" si="3"/>
        <v/>
      </c>
      <c r="U20" s="38"/>
      <c r="V20" s="34"/>
      <c r="W20" s="19"/>
      <c r="X20" s="38"/>
    </row>
    <row r="21" spans="1:24" x14ac:dyDescent="0.3">
      <c r="A21" s="216" t="s">
        <v>71</v>
      </c>
      <c r="B21" s="118"/>
      <c r="C21" s="13"/>
      <c r="D21" s="128"/>
      <c r="E21" s="19"/>
      <c r="F21" s="80"/>
      <c r="G21" s="80"/>
      <c r="H21" s="89"/>
      <c r="I21" s="171"/>
      <c r="J21" s="170"/>
      <c r="K21" s="171"/>
      <c r="L21" s="170"/>
      <c r="M21" s="195"/>
      <c r="N21" s="4"/>
      <c r="O21" s="39" t="str">
        <f t="shared" si="4"/>
        <v/>
      </c>
      <c r="P21" s="84"/>
      <c r="Q21" s="39" t="str">
        <f t="shared" si="2"/>
        <v/>
      </c>
      <c r="R21" s="35"/>
      <c r="S21" s="34"/>
      <c r="T21" s="19" t="str">
        <f t="shared" si="3"/>
        <v/>
      </c>
      <c r="U21" s="38"/>
      <c r="V21" s="34"/>
      <c r="W21" s="19"/>
      <c r="X21" s="38"/>
    </row>
    <row r="22" spans="1:24" x14ac:dyDescent="0.3">
      <c r="A22" s="216" t="s">
        <v>72</v>
      </c>
      <c r="B22" s="118"/>
      <c r="C22" s="13"/>
      <c r="D22" s="136"/>
      <c r="E22" s="19"/>
      <c r="F22" s="80"/>
      <c r="G22" s="80"/>
      <c r="H22" s="89"/>
      <c r="I22" s="171"/>
      <c r="J22" s="170"/>
      <c r="K22" s="171"/>
      <c r="L22" s="170"/>
      <c r="M22" s="195"/>
      <c r="N22" s="4"/>
      <c r="O22" s="39" t="str">
        <f t="shared" si="4"/>
        <v/>
      </c>
      <c r="P22" s="84"/>
      <c r="Q22" s="39" t="str">
        <f t="shared" si="2"/>
        <v/>
      </c>
      <c r="R22" s="35"/>
      <c r="S22" s="34"/>
      <c r="T22" s="19" t="str">
        <f t="shared" si="3"/>
        <v/>
      </c>
      <c r="U22" s="38"/>
      <c r="V22" s="34"/>
      <c r="W22" s="19"/>
      <c r="X22" s="38"/>
    </row>
    <row r="23" spans="1:24" x14ac:dyDescent="0.3">
      <c r="A23" s="216" t="s">
        <v>72</v>
      </c>
      <c r="B23" s="118"/>
      <c r="C23" s="13"/>
      <c r="D23" s="128"/>
      <c r="E23" s="19"/>
      <c r="F23" s="80"/>
      <c r="G23" s="80"/>
      <c r="H23" s="89"/>
      <c r="I23" s="171"/>
      <c r="J23" s="170"/>
      <c r="K23" s="171"/>
      <c r="L23" s="170"/>
      <c r="M23" s="195"/>
      <c r="N23" s="4"/>
      <c r="O23" s="39" t="str">
        <f t="shared" si="4"/>
        <v/>
      </c>
      <c r="P23" s="84"/>
      <c r="Q23" s="39" t="str">
        <f t="shared" si="2"/>
        <v/>
      </c>
      <c r="R23" s="35"/>
      <c r="S23" s="34"/>
      <c r="T23" s="19" t="str">
        <f t="shared" si="3"/>
        <v/>
      </c>
      <c r="U23" s="38"/>
      <c r="V23" s="34"/>
      <c r="W23" s="19"/>
      <c r="X23" s="38"/>
    </row>
    <row r="24" spans="1:24" x14ac:dyDescent="0.3">
      <c r="A24" s="216" t="s">
        <v>72</v>
      </c>
      <c r="B24" s="85"/>
      <c r="C24" s="86"/>
      <c r="D24" s="90"/>
      <c r="E24" s="19"/>
      <c r="F24" s="80"/>
      <c r="G24" s="80"/>
      <c r="H24" s="91"/>
      <c r="I24" s="171"/>
      <c r="J24" s="170"/>
      <c r="K24" s="171"/>
      <c r="L24" s="170"/>
      <c r="M24" s="195"/>
      <c r="N24" s="4"/>
      <c r="O24" s="39" t="str">
        <f t="shared" si="4"/>
        <v/>
      </c>
      <c r="P24" s="84"/>
      <c r="Q24" s="39" t="str">
        <f t="shared" si="2"/>
        <v/>
      </c>
      <c r="R24" s="35"/>
      <c r="S24" s="34"/>
      <c r="T24" s="19" t="str">
        <f t="shared" si="3"/>
        <v/>
      </c>
      <c r="U24" s="38"/>
      <c r="V24" s="34"/>
      <c r="W24" s="19"/>
      <c r="X24" s="38"/>
    </row>
    <row r="25" spans="1:24" x14ac:dyDescent="0.3">
      <c r="A25" s="216" t="s">
        <v>72</v>
      </c>
      <c r="B25" s="144"/>
      <c r="C25" s="13"/>
      <c r="D25" s="136"/>
      <c r="E25" s="19"/>
      <c r="F25" s="80"/>
      <c r="G25" s="80"/>
      <c r="H25" s="89"/>
      <c r="I25" s="171"/>
      <c r="J25" s="170"/>
      <c r="K25" s="171"/>
      <c r="L25" s="170"/>
      <c r="M25" s="195"/>
      <c r="N25" s="4"/>
      <c r="O25" s="39" t="str">
        <f t="shared" si="4"/>
        <v/>
      </c>
      <c r="P25" s="84"/>
      <c r="Q25" s="39" t="str">
        <f t="shared" si="2"/>
        <v/>
      </c>
      <c r="R25" s="35"/>
      <c r="S25" s="34"/>
      <c r="T25" s="19" t="str">
        <f t="shared" si="3"/>
        <v/>
      </c>
      <c r="U25" s="38"/>
      <c r="V25" s="34"/>
      <c r="W25" s="19"/>
      <c r="X25" s="38"/>
    </row>
    <row r="26" spans="1:24" x14ac:dyDescent="0.3">
      <c r="A26" s="216" t="s">
        <v>73</v>
      </c>
      <c r="B26" s="146"/>
      <c r="C26" s="86"/>
      <c r="D26" s="90"/>
      <c r="E26" s="19"/>
      <c r="F26" s="80"/>
      <c r="G26" s="80"/>
      <c r="H26" s="91"/>
      <c r="I26" s="171"/>
      <c r="J26" s="170"/>
      <c r="K26" s="171"/>
      <c r="L26" s="170"/>
      <c r="M26" s="195"/>
      <c r="N26" s="4"/>
      <c r="O26" s="39" t="str">
        <f t="shared" si="4"/>
        <v/>
      </c>
      <c r="P26" s="84"/>
      <c r="Q26" s="39" t="str">
        <f t="shared" si="2"/>
        <v/>
      </c>
      <c r="R26" s="37"/>
      <c r="S26" s="36"/>
      <c r="T26" s="19" t="str">
        <f t="shared" si="3"/>
        <v/>
      </c>
      <c r="U26" s="38"/>
      <c r="V26" s="36"/>
      <c r="W26" s="19"/>
      <c r="X26" s="37"/>
    </row>
    <row r="27" spans="1:24" x14ac:dyDescent="0.3">
      <c r="A27" s="216" t="s">
        <v>73</v>
      </c>
      <c r="B27" s="144"/>
      <c r="C27" s="86"/>
      <c r="D27" s="90"/>
      <c r="E27" s="19"/>
      <c r="F27" s="80"/>
      <c r="G27" s="80"/>
      <c r="H27" s="91"/>
      <c r="I27" s="171"/>
      <c r="J27" s="170"/>
      <c r="K27" s="171"/>
      <c r="L27" s="170"/>
      <c r="M27" s="195"/>
      <c r="N27" s="4"/>
      <c r="O27" s="39" t="str">
        <f>IF(B27="","",B27)</f>
        <v/>
      </c>
      <c r="P27" s="84"/>
      <c r="Q27" s="39" t="str">
        <f t="shared" si="2"/>
        <v/>
      </c>
      <c r="R27" s="37"/>
      <c r="S27" s="36"/>
      <c r="T27" s="19" t="str">
        <f t="shared" si="3"/>
        <v/>
      </c>
      <c r="U27" s="38"/>
      <c r="V27" s="36"/>
      <c r="W27" s="19"/>
      <c r="X27" s="37"/>
    </row>
    <row r="28" spans="1:24" x14ac:dyDescent="0.3">
      <c r="A28" s="216" t="s">
        <v>73</v>
      </c>
      <c r="B28" s="144"/>
      <c r="C28" s="86"/>
      <c r="D28" s="90"/>
      <c r="E28" s="19"/>
      <c r="F28" s="80"/>
      <c r="G28" s="80"/>
      <c r="H28" s="91"/>
      <c r="I28" s="171"/>
      <c r="J28" s="170"/>
      <c r="K28" s="171"/>
      <c r="L28" s="170"/>
      <c r="M28" s="195"/>
      <c r="N28" s="4"/>
      <c r="O28" s="39" t="str">
        <f t="shared" ref="O28:O29" si="5">IF(B28="","",B28)</f>
        <v/>
      </c>
      <c r="P28" s="84"/>
      <c r="Q28" s="39" t="str">
        <f t="shared" si="2"/>
        <v/>
      </c>
      <c r="R28" s="37"/>
      <c r="S28" s="36"/>
      <c r="T28" s="19" t="str">
        <f t="shared" si="3"/>
        <v/>
      </c>
      <c r="U28" s="38"/>
      <c r="V28" s="36"/>
      <c r="W28" s="19"/>
      <c r="X28" s="37"/>
    </row>
    <row r="29" spans="1:24" x14ac:dyDescent="0.3">
      <c r="A29" s="216" t="s">
        <v>73</v>
      </c>
      <c r="B29" s="85"/>
      <c r="C29" s="86"/>
      <c r="D29" s="90"/>
      <c r="E29" s="19"/>
      <c r="F29" s="80"/>
      <c r="G29" s="80"/>
      <c r="H29" s="91"/>
      <c r="I29" s="171"/>
      <c r="J29" s="170"/>
      <c r="K29" s="171"/>
      <c r="L29" s="170"/>
      <c r="M29" s="195"/>
      <c r="N29" s="4"/>
      <c r="O29" s="39" t="str">
        <f t="shared" si="5"/>
        <v/>
      </c>
      <c r="P29" s="84"/>
      <c r="Q29" s="39" t="str">
        <f t="shared" si="2"/>
        <v/>
      </c>
      <c r="R29" s="37"/>
      <c r="S29" s="36"/>
      <c r="T29" s="19" t="str">
        <f t="shared" si="3"/>
        <v/>
      </c>
      <c r="U29" s="38"/>
      <c r="V29" s="36"/>
      <c r="W29" s="19"/>
      <c r="X29" s="37"/>
    </row>
    <row r="30" spans="1:24" ht="15.6" x14ac:dyDescent="0.3">
      <c r="B30" s="20"/>
      <c r="D30" s="21"/>
      <c r="E30" s="21"/>
      <c r="F30" s="21"/>
      <c r="G30" s="21"/>
      <c r="H30" s="22"/>
      <c r="I30" s="172"/>
      <c r="J30" s="172"/>
      <c r="K30" s="172"/>
      <c r="L30" s="172"/>
      <c r="M30" s="31"/>
      <c r="N30" s="4"/>
      <c r="O30" s="47"/>
      <c r="P30" s="21"/>
      <c r="Q30" s="21"/>
      <c r="R30" s="21"/>
      <c r="S30" s="21"/>
      <c r="T30" s="21"/>
      <c r="U30" s="6"/>
    </row>
    <row r="31" spans="1:24" x14ac:dyDescent="0.3">
      <c r="B31" s="20"/>
      <c r="D31" s="21"/>
      <c r="E31" s="21"/>
      <c r="F31" s="21"/>
      <c r="G31" s="21"/>
      <c r="H31" s="22"/>
      <c r="I31" s="172"/>
      <c r="J31" s="172"/>
      <c r="K31" s="172"/>
      <c r="L31" s="172"/>
      <c r="M31" s="1"/>
      <c r="N31" s="4"/>
      <c r="O31" s="1"/>
      <c r="P31" s="1"/>
      <c r="Q31" s="1"/>
      <c r="R31" s="1"/>
      <c r="S31" s="1"/>
    </row>
    <row r="32" spans="1:24" ht="15" thickBot="1" x14ac:dyDescent="0.35">
      <c r="B32" s="20"/>
      <c r="D32" s="21"/>
      <c r="E32" s="21"/>
      <c r="F32" s="21"/>
      <c r="G32" s="21"/>
      <c r="H32" s="22"/>
      <c r="I32" s="172"/>
      <c r="J32" s="172"/>
      <c r="K32" s="172"/>
      <c r="L32" s="172"/>
      <c r="M32" s="1"/>
      <c r="N32" s="4"/>
      <c r="O32" s="1"/>
      <c r="P32" s="1"/>
      <c r="Q32" s="1"/>
      <c r="R32" s="1"/>
      <c r="S32" s="1"/>
    </row>
    <row r="33" spans="1:21" ht="18.600000000000001" thickBot="1" x14ac:dyDescent="0.4">
      <c r="A33" s="112" t="s">
        <v>74</v>
      </c>
      <c r="B33" s="113"/>
      <c r="C33" s="113"/>
      <c r="D33" s="113"/>
      <c r="E33" s="113"/>
      <c r="F33" s="113"/>
      <c r="G33" s="113"/>
      <c r="H33" s="114"/>
      <c r="I33" s="173"/>
      <c r="J33" s="173"/>
      <c r="K33" s="173"/>
      <c r="L33" s="173"/>
      <c r="M33" s="1"/>
      <c r="N33" s="4"/>
      <c r="O33" s="1"/>
      <c r="P33" s="1"/>
      <c r="Q33" s="1"/>
      <c r="R33" s="1"/>
      <c r="S33" s="1"/>
    </row>
    <row r="34" spans="1:21" ht="18.600000000000001" thickBot="1" x14ac:dyDescent="0.4">
      <c r="A34" s="108" t="s">
        <v>75</v>
      </c>
      <c r="B34" s="109" t="s">
        <v>47</v>
      </c>
      <c r="C34" s="109" t="s">
        <v>48</v>
      </c>
      <c r="D34" s="109" t="s">
        <v>49</v>
      </c>
      <c r="E34" s="109" t="s">
        <v>50</v>
      </c>
      <c r="F34" s="110" t="s">
        <v>76</v>
      </c>
      <c r="G34" s="187"/>
      <c r="H34" s="111" t="s">
        <v>53</v>
      </c>
      <c r="I34" s="173"/>
      <c r="J34" s="173"/>
      <c r="K34" s="173"/>
      <c r="L34" s="173"/>
      <c r="M34" s="42"/>
      <c r="N34" s="4"/>
      <c r="O34" s="47"/>
      <c r="P34" s="47"/>
      <c r="Q34" s="47"/>
      <c r="R34" s="47"/>
      <c r="S34" s="47"/>
      <c r="T34" s="47"/>
      <c r="U34" s="47"/>
    </row>
    <row r="35" spans="1:21" ht="40.5" customHeight="1" x14ac:dyDescent="0.3">
      <c r="A35" s="149" t="s">
        <v>59</v>
      </c>
      <c r="B35" s="129" t="s">
        <v>60</v>
      </c>
      <c r="C35" s="129" t="s">
        <v>77</v>
      </c>
      <c r="D35" s="129" t="s">
        <v>62</v>
      </c>
      <c r="E35" s="129" t="s">
        <v>63</v>
      </c>
      <c r="F35" s="129" t="s">
        <v>78</v>
      </c>
      <c r="G35" s="129"/>
      <c r="H35" s="167" t="s">
        <v>66</v>
      </c>
      <c r="I35" s="173"/>
      <c r="J35" s="173"/>
      <c r="K35" s="173"/>
      <c r="L35" s="173"/>
      <c r="M35" s="48"/>
      <c r="N35" s="4"/>
      <c r="O35" s="48"/>
      <c r="P35" s="48"/>
      <c r="Q35" s="48"/>
      <c r="R35" s="49"/>
      <c r="S35" s="48"/>
      <c r="T35" s="48"/>
      <c r="U35" s="49"/>
    </row>
    <row r="36" spans="1:21" x14ac:dyDescent="0.3">
      <c r="A36" s="217" t="s">
        <v>79</v>
      </c>
      <c r="B36" s="142" t="s">
        <v>80</v>
      </c>
      <c r="C36" s="83"/>
      <c r="D36" s="92"/>
      <c r="E36" s="145" t="s">
        <v>81</v>
      </c>
      <c r="F36" s="18"/>
      <c r="G36" s="18"/>
      <c r="H36" s="168"/>
      <c r="I36" s="174"/>
      <c r="J36" s="172"/>
      <c r="K36" s="175"/>
      <c r="L36" s="173"/>
      <c r="M36" s="1"/>
      <c r="N36" s="4"/>
      <c r="O36" s="42"/>
      <c r="P36" s="46"/>
      <c r="Q36" s="46"/>
      <c r="R36" s="46"/>
      <c r="S36" s="46"/>
      <c r="T36" s="46"/>
      <c r="U36" s="45"/>
    </row>
    <row r="37" spans="1:21" x14ac:dyDescent="0.3">
      <c r="A37" s="217" t="s">
        <v>79</v>
      </c>
      <c r="B37" s="15" t="s">
        <v>82</v>
      </c>
      <c r="C37" s="15"/>
      <c r="D37" s="15"/>
      <c r="E37" s="145"/>
      <c r="F37" s="18"/>
      <c r="G37" s="18"/>
      <c r="H37" s="168"/>
      <c r="I37" s="176"/>
      <c r="J37" s="172"/>
      <c r="K37" s="175"/>
      <c r="L37" s="173"/>
      <c r="M37" s="48"/>
      <c r="N37" s="1"/>
      <c r="O37" s="42"/>
      <c r="P37" s="5"/>
      <c r="Q37" s="5"/>
      <c r="R37" s="5"/>
      <c r="S37" s="5"/>
      <c r="T37" s="5"/>
      <c r="U37" s="5"/>
    </row>
    <row r="38" spans="1:21" x14ac:dyDescent="0.3">
      <c r="A38" s="217" t="s">
        <v>79</v>
      </c>
      <c r="B38" s="14" t="s">
        <v>83</v>
      </c>
      <c r="C38" s="15"/>
      <c r="D38" s="94"/>
      <c r="E38" s="145" t="s">
        <v>84</v>
      </c>
      <c r="F38" s="18"/>
      <c r="G38" s="18"/>
      <c r="H38" s="168"/>
      <c r="I38" s="177"/>
      <c r="J38" s="172"/>
      <c r="K38" s="175"/>
      <c r="L38" s="173"/>
      <c r="M38" s="48"/>
      <c r="N38" s="1"/>
      <c r="O38" s="42"/>
      <c r="P38" s="5"/>
      <c r="Q38" s="5"/>
      <c r="R38" s="5"/>
      <c r="S38" s="5"/>
      <c r="T38" s="5"/>
      <c r="U38" s="5"/>
    </row>
    <row r="39" spans="1:21" x14ac:dyDescent="0.3">
      <c r="A39" s="217" t="s">
        <v>79</v>
      </c>
      <c r="B39" s="15" t="s">
        <v>85</v>
      </c>
      <c r="C39" s="14"/>
      <c r="D39" s="15"/>
      <c r="E39" s="145" t="s">
        <v>84</v>
      </c>
      <c r="F39" s="81"/>
      <c r="G39" s="81"/>
      <c r="H39" s="168"/>
      <c r="I39" s="176"/>
      <c r="J39" s="172"/>
      <c r="K39" s="176"/>
      <c r="L39" s="173"/>
      <c r="M39" s="48"/>
      <c r="N39" s="1"/>
      <c r="O39" s="42"/>
      <c r="P39" s="5"/>
      <c r="Q39" s="5"/>
      <c r="R39" s="5"/>
      <c r="S39" s="5"/>
      <c r="T39" s="5"/>
      <c r="U39" s="5"/>
    </row>
    <row r="40" spans="1:21" x14ac:dyDescent="0.3">
      <c r="A40" s="217" t="s">
        <v>79</v>
      </c>
      <c r="B40" s="15" t="s">
        <v>86</v>
      </c>
      <c r="C40" s="14"/>
      <c r="D40" s="15"/>
      <c r="E40" s="145" t="s">
        <v>84</v>
      </c>
      <c r="F40" s="81"/>
      <c r="G40" s="81"/>
      <c r="H40" s="168"/>
      <c r="I40" s="173"/>
      <c r="J40" s="172"/>
      <c r="K40" s="176"/>
      <c r="L40" s="173"/>
      <c r="M40" s="48"/>
      <c r="N40" s="1"/>
      <c r="O40" s="42"/>
      <c r="P40" s="5"/>
      <c r="Q40" s="5"/>
      <c r="R40" s="5"/>
      <c r="S40" s="5"/>
      <c r="T40" s="5"/>
      <c r="U40" s="5"/>
    </row>
    <row r="41" spans="1:21" x14ac:dyDescent="0.3">
      <c r="A41" s="217" t="s">
        <v>79</v>
      </c>
      <c r="B41" s="15" t="s">
        <v>87</v>
      </c>
      <c r="C41" s="14"/>
      <c r="D41" s="15"/>
      <c r="E41" s="145" t="s">
        <v>84</v>
      </c>
      <c r="F41" s="81"/>
      <c r="G41" s="81"/>
      <c r="H41" s="168"/>
      <c r="I41" s="173"/>
      <c r="J41" s="172"/>
      <c r="K41" s="176"/>
      <c r="L41" s="173"/>
      <c r="M41" s="48"/>
      <c r="N41" s="1"/>
      <c r="O41" s="42"/>
      <c r="P41" s="5"/>
      <c r="Q41" s="5"/>
      <c r="R41" s="5"/>
      <c r="S41" s="5"/>
      <c r="T41" s="5"/>
      <c r="U41" s="5"/>
    </row>
    <row r="42" spans="1:21" x14ac:dyDescent="0.3">
      <c r="A42" s="217" t="s">
        <v>79</v>
      </c>
      <c r="B42" s="15" t="s">
        <v>88</v>
      </c>
      <c r="C42" s="14"/>
      <c r="D42" s="15"/>
      <c r="E42" s="145" t="s">
        <v>84</v>
      </c>
      <c r="F42" s="81"/>
      <c r="G42" s="81"/>
      <c r="H42" s="168"/>
      <c r="I42" s="173"/>
      <c r="J42" s="172"/>
      <c r="K42" s="176"/>
      <c r="L42" s="173"/>
      <c r="M42" s="48"/>
      <c r="N42" s="1"/>
      <c r="O42" s="42"/>
      <c r="P42" s="5"/>
      <c r="Q42" s="5"/>
      <c r="R42" s="5"/>
      <c r="S42" s="5"/>
      <c r="T42" s="5"/>
      <c r="U42" s="5"/>
    </row>
    <row r="43" spans="1:21" x14ac:dyDescent="0.3">
      <c r="A43" s="217" t="s">
        <v>79</v>
      </c>
      <c r="B43" s="15" t="s">
        <v>89</v>
      </c>
      <c r="C43" s="15"/>
      <c r="D43" s="94"/>
      <c r="E43" s="145" t="s">
        <v>84</v>
      </c>
      <c r="F43" s="143"/>
      <c r="G43" s="143"/>
      <c r="H43" s="168"/>
      <c r="I43" s="173"/>
      <c r="J43" s="172"/>
      <c r="K43" s="175"/>
      <c r="L43" s="173"/>
      <c r="M43" s="48"/>
      <c r="N43" s="1"/>
      <c r="O43" s="42"/>
      <c r="P43" s="5"/>
      <c r="Q43" s="5"/>
      <c r="R43" s="5"/>
      <c r="S43" s="5"/>
      <c r="T43" s="5"/>
      <c r="U43" s="5"/>
    </row>
    <row r="44" spans="1:21" x14ac:dyDescent="0.3">
      <c r="A44" s="217" t="s">
        <v>79</v>
      </c>
      <c r="B44" s="15" t="s">
        <v>90</v>
      </c>
      <c r="C44" s="15"/>
      <c r="D44" s="94"/>
      <c r="E44" s="145" t="s">
        <v>91</v>
      </c>
      <c r="F44" s="143"/>
      <c r="G44" s="143"/>
      <c r="H44" s="168"/>
      <c r="I44" s="173"/>
      <c r="J44" s="172"/>
      <c r="K44" s="175"/>
      <c r="L44" s="173"/>
      <c r="M44" s="48"/>
      <c r="N44" s="1"/>
      <c r="O44" s="42"/>
      <c r="P44" s="5"/>
      <c r="Q44" s="5"/>
      <c r="R44" s="5"/>
      <c r="S44" s="5"/>
      <c r="T44" s="5"/>
      <c r="U44" s="5"/>
    </row>
    <row r="45" spans="1:21" x14ac:dyDescent="0.3">
      <c r="A45" s="217" t="s">
        <v>79</v>
      </c>
      <c r="B45" s="15" t="s">
        <v>92</v>
      </c>
      <c r="C45" s="15"/>
      <c r="D45" s="94"/>
      <c r="E45" s="145" t="s">
        <v>91</v>
      </c>
      <c r="F45" s="143"/>
      <c r="G45" s="143"/>
      <c r="H45" s="168"/>
      <c r="I45" s="173"/>
      <c r="J45" s="172"/>
      <c r="K45" s="175"/>
      <c r="L45" s="173"/>
      <c r="M45" s="48"/>
      <c r="N45" s="1"/>
      <c r="O45" s="42"/>
      <c r="P45" s="5"/>
      <c r="Q45" s="5"/>
      <c r="R45" s="5"/>
      <c r="S45" s="5"/>
      <c r="T45" s="5"/>
      <c r="U45" s="5"/>
    </row>
    <row r="46" spans="1:21" x14ac:dyDescent="0.3">
      <c r="A46" s="217" t="s">
        <v>79</v>
      </c>
      <c r="B46" s="15" t="s">
        <v>93</v>
      </c>
      <c r="C46" s="15"/>
      <c r="D46" s="94"/>
      <c r="E46" s="145" t="s">
        <v>91</v>
      </c>
      <c r="F46" s="143"/>
      <c r="G46" s="143"/>
      <c r="H46" s="168"/>
      <c r="I46" s="173"/>
      <c r="J46" s="172"/>
      <c r="K46" s="175"/>
      <c r="L46" s="173"/>
      <c r="M46" s="48"/>
      <c r="N46" s="1"/>
      <c r="O46" s="42"/>
      <c r="P46" s="5"/>
      <c r="Q46" s="5"/>
      <c r="R46" s="5"/>
      <c r="S46" s="5"/>
      <c r="T46" s="5"/>
      <c r="U46" s="5"/>
    </row>
    <row r="47" spans="1:21" x14ac:dyDescent="0.3">
      <c r="A47" s="217" t="s">
        <v>79</v>
      </c>
      <c r="B47" s="15" t="s">
        <v>94</v>
      </c>
      <c r="C47" s="15"/>
      <c r="D47" s="94"/>
      <c r="E47" s="145" t="s">
        <v>95</v>
      </c>
      <c r="F47" s="143"/>
      <c r="G47" s="143"/>
      <c r="H47" s="168"/>
      <c r="I47" s="173"/>
      <c r="J47" s="172"/>
      <c r="K47" s="175"/>
      <c r="L47" s="173"/>
      <c r="M47" s="48"/>
      <c r="N47" s="1"/>
      <c r="O47" s="42"/>
      <c r="P47" s="5"/>
      <c r="Q47" s="5"/>
      <c r="R47" s="5"/>
      <c r="S47" s="5"/>
      <c r="T47" s="5"/>
      <c r="U47" s="5"/>
    </row>
    <row r="48" spans="1:21" x14ac:dyDescent="0.3">
      <c r="A48" s="217" t="s">
        <v>79</v>
      </c>
      <c r="B48" s="15"/>
      <c r="C48" s="15"/>
      <c r="D48" s="94"/>
      <c r="E48" s="145"/>
      <c r="F48" s="143"/>
      <c r="G48" s="143"/>
      <c r="H48" s="168"/>
      <c r="I48" s="173"/>
      <c r="J48" s="172"/>
      <c r="K48" s="175"/>
      <c r="L48" s="173"/>
      <c r="M48" s="48"/>
      <c r="N48" s="1"/>
      <c r="O48" s="42"/>
      <c r="P48" s="5"/>
      <c r="Q48" s="5"/>
      <c r="R48" s="5"/>
      <c r="S48" s="5"/>
      <c r="T48" s="5"/>
      <c r="U48" s="5"/>
    </row>
    <row r="49" spans="1:21" x14ac:dyDescent="0.3">
      <c r="A49" s="217" t="s">
        <v>79</v>
      </c>
      <c r="B49" s="142"/>
      <c r="C49" s="83"/>
      <c r="D49" s="92"/>
      <c r="E49" s="75"/>
      <c r="F49" s="18"/>
      <c r="G49" s="18"/>
      <c r="H49" s="168"/>
      <c r="I49" s="173"/>
      <c r="J49" s="172"/>
      <c r="K49" s="175"/>
      <c r="L49" s="173"/>
      <c r="M49" s="48"/>
      <c r="N49" s="4"/>
      <c r="O49" s="42"/>
      <c r="P49" s="46"/>
      <c r="Q49" s="46"/>
      <c r="R49" s="46"/>
      <c r="S49" s="46"/>
      <c r="T49" s="46"/>
      <c r="U49" s="45"/>
    </row>
    <row r="50" spans="1:21" x14ac:dyDescent="0.3">
      <c r="A50" s="217" t="s">
        <v>79</v>
      </c>
      <c r="B50" s="142"/>
      <c r="C50" s="83"/>
      <c r="D50" s="92"/>
      <c r="E50" s="75"/>
      <c r="F50" s="18"/>
      <c r="G50" s="18"/>
      <c r="H50" s="168"/>
      <c r="I50" s="173"/>
      <c r="J50" s="172"/>
      <c r="K50" s="173"/>
      <c r="L50" s="173"/>
      <c r="M50" s="48"/>
      <c r="N50" s="4"/>
      <c r="O50" s="42"/>
      <c r="P50" s="46"/>
      <c r="Q50" s="46"/>
      <c r="R50" s="46"/>
      <c r="S50" s="46"/>
      <c r="T50" s="46"/>
      <c r="U50" s="45"/>
    </row>
    <row r="51" spans="1:21" ht="14.7" customHeight="1" collapsed="1" x14ac:dyDescent="0.3">
      <c r="A51" s="217" t="s">
        <v>75</v>
      </c>
      <c r="B51" s="15"/>
      <c r="C51" s="15"/>
      <c r="D51" s="134"/>
      <c r="E51" s="75"/>
      <c r="F51" s="18"/>
      <c r="G51" s="18"/>
      <c r="H51" s="168"/>
      <c r="I51" s="173"/>
      <c r="J51" s="172"/>
      <c r="K51" s="175"/>
      <c r="L51" s="173"/>
      <c r="M51" s="48"/>
      <c r="N51" s="1"/>
      <c r="O51" s="42"/>
      <c r="P51" s="5"/>
      <c r="Q51" s="5"/>
      <c r="R51" s="5"/>
      <c r="S51" s="5"/>
      <c r="T51" s="5"/>
      <c r="U51" s="5"/>
    </row>
    <row r="52" spans="1:21" ht="34.200000000000003" customHeight="1" x14ac:dyDescent="0.3">
      <c r="A52" s="217" t="s">
        <v>409</v>
      </c>
      <c r="B52" s="15" t="s">
        <v>361</v>
      </c>
      <c r="C52" s="92" t="s">
        <v>408</v>
      </c>
      <c r="D52" s="94"/>
      <c r="E52" s="75"/>
      <c r="F52" s="143"/>
      <c r="G52" s="143"/>
      <c r="H52" s="168"/>
      <c r="I52" s="173"/>
      <c r="J52" s="172"/>
      <c r="K52" s="175"/>
      <c r="L52" s="173"/>
      <c r="M52" s="48"/>
      <c r="N52" s="1"/>
      <c r="O52" s="42"/>
      <c r="P52" s="5"/>
      <c r="Q52" s="5"/>
      <c r="R52" s="5"/>
      <c r="S52" s="5"/>
      <c r="T52" s="5"/>
      <c r="U52" s="5"/>
    </row>
    <row r="53" spans="1:21" ht="42" customHeight="1" x14ac:dyDescent="0.3">
      <c r="A53" s="217" t="s">
        <v>419</v>
      </c>
      <c r="B53" s="15" t="s">
        <v>418</v>
      </c>
      <c r="C53" s="291" t="s">
        <v>417</v>
      </c>
      <c r="D53" s="281"/>
      <c r="E53" s="75"/>
      <c r="F53" s="143"/>
      <c r="G53" s="143"/>
      <c r="H53" s="168"/>
      <c r="I53" s="173"/>
      <c r="J53" s="172"/>
      <c r="K53" s="175"/>
      <c r="L53" s="173"/>
      <c r="M53" s="48"/>
      <c r="N53" s="1"/>
      <c r="O53" s="42"/>
      <c r="P53" s="5"/>
      <c r="Q53" s="5"/>
      <c r="R53" s="5"/>
      <c r="S53" s="5"/>
      <c r="T53" s="5"/>
      <c r="U53" s="5"/>
    </row>
    <row r="54" spans="1:21" ht="36" customHeight="1" x14ac:dyDescent="0.3">
      <c r="A54" s="217" t="s">
        <v>441</v>
      </c>
      <c r="B54" s="142" t="s">
        <v>442</v>
      </c>
      <c r="C54" s="83" t="s">
        <v>440</v>
      </c>
      <c r="D54"/>
      <c r="E54" s="75"/>
      <c r="F54" s="18"/>
      <c r="G54" s="18"/>
      <c r="H54" s="168"/>
      <c r="I54" s="174"/>
      <c r="J54" s="172"/>
      <c r="K54" s="175"/>
      <c r="L54" s="173"/>
      <c r="M54" s="48"/>
      <c r="N54" s="4"/>
      <c r="O54" s="42"/>
      <c r="P54" s="46"/>
      <c r="Q54" s="46"/>
      <c r="R54" s="46"/>
      <c r="S54" s="46"/>
      <c r="T54" s="46"/>
      <c r="U54" s="45"/>
    </row>
    <row r="55" spans="1:21" x14ac:dyDescent="0.3">
      <c r="A55" s="217" t="s">
        <v>96</v>
      </c>
      <c r="B55" s="93"/>
      <c r="C55" s="15"/>
      <c r="D55" s="133"/>
      <c r="E55" s="75"/>
      <c r="F55" s="18"/>
      <c r="G55" s="18"/>
      <c r="H55" s="168"/>
      <c r="I55" s="178"/>
      <c r="J55" s="172"/>
      <c r="K55" s="175"/>
      <c r="L55" s="173"/>
      <c r="M55" s="48"/>
      <c r="N55" s="4"/>
      <c r="O55" s="42"/>
      <c r="P55" s="50"/>
      <c r="Q55" s="50"/>
      <c r="R55" s="50"/>
      <c r="S55" s="50"/>
      <c r="T55" s="50"/>
      <c r="U55" s="45"/>
    </row>
    <row r="56" spans="1:21" x14ac:dyDescent="0.3">
      <c r="A56" s="217" t="s">
        <v>96</v>
      </c>
      <c r="B56" s="142" t="s">
        <v>97</v>
      </c>
      <c r="C56" s="83"/>
      <c r="D56" s="92"/>
      <c r="E56" s="145" t="s">
        <v>98</v>
      </c>
      <c r="F56" s="18"/>
      <c r="G56" s="18"/>
      <c r="H56" s="168"/>
      <c r="I56" s="174"/>
      <c r="J56" s="172"/>
      <c r="K56" s="175"/>
      <c r="L56" s="173"/>
      <c r="M56" s="48"/>
      <c r="N56" s="4"/>
      <c r="O56" s="42"/>
      <c r="P56" s="46"/>
      <c r="Q56" s="46"/>
      <c r="R56" s="46"/>
      <c r="S56" s="46"/>
      <c r="T56" s="46"/>
      <c r="U56" s="45"/>
    </row>
    <row r="57" spans="1:21" x14ac:dyDescent="0.3">
      <c r="A57" s="217" t="s">
        <v>96</v>
      </c>
      <c r="B57" s="142" t="s">
        <v>99</v>
      </c>
      <c r="C57" s="15"/>
      <c r="D57" s="15"/>
      <c r="E57" s="145" t="s">
        <v>100</v>
      </c>
      <c r="F57" s="18"/>
      <c r="G57" s="18"/>
      <c r="H57" s="168"/>
      <c r="I57" s="176"/>
      <c r="J57" s="172"/>
      <c r="K57" s="175"/>
      <c r="L57" s="173"/>
      <c r="M57" s="48"/>
      <c r="N57" s="4"/>
      <c r="O57" s="42"/>
      <c r="P57" s="46"/>
      <c r="Q57" s="46"/>
      <c r="R57" s="46"/>
      <c r="S57" s="46"/>
      <c r="T57" s="46"/>
      <c r="U57" s="45"/>
    </row>
    <row r="58" spans="1:21" x14ac:dyDescent="0.3">
      <c r="A58" s="217" t="s">
        <v>96</v>
      </c>
      <c r="B58" s="93"/>
      <c r="C58" s="15"/>
      <c r="D58" s="133"/>
      <c r="E58" s="75"/>
      <c r="F58" s="18"/>
      <c r="G58" s="18"/>
      <c r="H58" s="168"/>
      <c r="I58" s="178"/>
      <c r="J58" s="172"/>
      <c r="K58" s="175"/>
      <c r="L58" s="173"/>
      <c r="M58" s="48"/>
      <c r="N58" s="4"/>
      <c r="O58" s="42"/>
      <c r="P58" s="50"/>
      <c r="Q58" s="50"/>
      <c r="R58" s="50"/>
      <c r="S58" s="50"/>
      <c r="T58" s="50"/>
      <c r="U58" s="45"/>
    </row>
    <row r="59" spans="1:21" x14ac:dyDescent="0.3">
      <c r="A59" s="217" t="s">
        <v>96</v>
      </c>
      <c r="B59" s="15"/>
      <c r="C59" s="15"/>
      <c r="D59" s="134"/>
      <c r="E59" s="75"/>
      <c r="F59" s="18"/>
      <c r="G59" s="18"/>
      <c r="H59" s="168"/>
      <c r="I59" s="179"/>
      <c r="J59" s="172"/>
      <c r="K59" s="175"/>
      <c r="L59" s="173"/>
      <c r="M59" s="48"/>
      <c r="N59" s="4"/>
      <c r="O59" s="42"/>
      <c r="P59" s="50"/>
      <c r="Q59" s="50"/>
      <c r="R59" s="50"/>
      <c r="S59" s="50"/>
      <c r="T59" s="50"/>
      <c r="U59" s="45"/>
    </row>
    <row r="60" spans="1:21" ht="14.4" customHeight="1" outlineLevel="2" x14ac:dyDescent="0.3">
      <c r="A60" s="217" t="s">
        <v>96</v>
      </c>
      <c r="B60" s="15"/>
      <c r="C60" s="15"/>
      <c r="D60" s="15"/>
      <c r="E60" s="75"/>
      <c r="F60" s="18"/>
      <c r="G60" s="18"/>
      <c r="H60" s="168"/>
      <c r="I60" s="176"/>
      <c r="J60" s="172"/>
      <c r="K60" s="175"/>
      <c r="L60" s="173"/>
      <c r="M60" s="48"/>
      <c r="N60" s="4"/>
      <c r="O60" s="42"/>
      <c r="P60" s="46"/>
      <c r="Q60" s="46"/>
      <c r="R60" s="46"/>
      <c r="S60" s="46"/>
      <c r="T60" s="46"/>
      <c r="U60" s="45"/>
    </row>
    <row r="61" spans="1:21" ht="14.4" customHeight="1" outlineLevel="2" x14ac:dyDescent="0.3">
      <c r="A61" s="217" t="s">
        <v>96</v>
      </c>
      <c r="B61" s="15"/>
      <c r="C61" s="15"/>
      <c r="D61" s="93"/>
      <c r="E61" s="75"/>
      <c r="F61" s="18"/>
      <c r="G61" s="18"/>
      <c r="H61" s="168"/>
      <c r="I61" s="180"/>
      <c r="J61" s="172"/>
      <c r="K61" s="175"/>
      <c r="L61" s="173"/>
      <c r="M61" s="48"/>
      <c r="N61" s="4"/>
      <c r="O61" s="42"/>
      <c r="P61" s="46"/>
      <c r="Q61" s="46"/>
      <c r="R61" s="46"/>
      <c r="S61" s="46"/>
      <c r="T61" s="46"/>
      <c r="U61" s="45"/>
    </row>
    <row r="62" spans="1:21" ht="14.4" customHeight="1" outlineLevel="2" x14ac:dyDescent="0.3">
      <c r="A62" s="217" t="s">
        <v>96</v>
      </c>
      <c r="B62" s="15"/>
      <c r="C62" s="83"/>
      <c r="D62" s="92"/>
      <c r="E62" s="75"/>
      <c r="F62" s="18"/>
      <c r="G62" s="18"/>
      <c r="H62" s="168"/>
      <c r="I62" s="174"/>
      <c r="J62" s="172"/>
      <c r="K62" s="175"/>
      <c r="L62" s="173"/>
      <c r="M62" s="48"/>
      <c r="N62" s="1"/>
      <c r="O62" s="42"/>
      <c r="P62" s="43"/>
      <c r="Q62" s="43"/>
      <c r="R62" s="43"/>
      <c r="S62" s="43"/>
      <c r="T62" s="43"/>
      <c r="U62" s="45"/>
    </row>
    <row r="63" spans="1:21" ht="14.4" customHeight="1" outlineLevel="2" x14ac:dyDescent="0.3">
      <c r="A63" s="217" t="s">
        <v>96</v>
      </c>
      <c r="B63" s="15"/>
      <c r="C63" s="15"/>
      <c r="D63" s="15"/>
      <c r="E63" s="75"/>
      <c r="F63" s="18"/>
      <c r="G63" s="18"/>
      <c r="H63" s="168"/>
      <c r="I63" s="176"/>
      <c r="J63" s="172"/>
      <c r="K63" s="175"/>
      <c r="L63" s="173"/>
      <c r="M63" s="48"/>
      <c r="N63" s="1"/>
      <c r="O63" s="42"/>
      <c r="P63" s="43"/>
      <c r="Q63" s="43"/>
      <c r="R63" s="43"/>
      <c r="S63" s="43"/>
      <c r="T63" s="43"/>
      <c r="U63" s="45"/>
    </row>
    <row r="64" spans="1:21" ht="14.4" customHeight="1" outlineLevel="2" x14ac:dyDescent="0.3">
      <c r="A64" s="217" t="s">
        <v>96</v>
      </c>
      <c r="B64" s="93"/>
      <c r="C64" s="15"/>
      <c r="D64" s="133"/>
      <c r="E64" s="75"/>
      <c r="F64" s="18"/>
      <c r="G64" s="18"/>
      <c r="H64" s="168"/>
      <c r="I64" s="178"/>
      <c r="J64" s="172"/>
      <c r="K64" s="175"/>
      <c r="L64" s="173"/>
      <c r="M64" s="48"/>
      <c r="N64" s="4"/>
      <c r="O64" s="42"/>
      <c r="P64" s="43"/>
      <c r="Q64" s="43"/>
      <c r="R64" s="43"/>
      <c r="S64" s="44"/>
      <c r="T64" s="43"/>
      <c r="U64" s="45"/>
    </row>
    <row r="65" spans="1:21" ht="14.4" customHeight="1" outlineLevel="2" x14ac:dyDescent="0.3">
      <c r="A65" s="217" t="s">
        <v>96</v>
      </c>
      <c r="B65" s="15"/>
      <c r="C65" s="15"/>
      <c r="D65" s="134"/>
      <c r="E65" s="75"/>
      <c r="F65" s="18"/>
      <c r="G65" s="18"/>
      <c r="H65" s="168"/>
      <c r="I65" s="179"/>
      <c r="J65" s="172"/>
      <c r="K65" s="175"/>
      <c r="L65" s="173"/>
      <c r="M65" s="48"/>
      <c r="N65" s="4"/>
      <c r="O65" s="42"/>
      <c r="P65" s="43"/>
      <c r="Q65" s="43"/>
      <c r="R65" s="43"/>
      <c r="S65" s="43"/>
      <c r="T65" s="43"/>
      <c r="U65" s="45"/>
    </row>
    <row r="66" spans="1:21" ht="14.4" customHeight="1" outlineLevel="2" x14ac:dyDescent="0.3">
      <c r="A66" s="217" t="s">
        <v>96</v>
      </c>
      <c r="B66" s="15"/>
      <c r="C66" s="15"/>
      <c r="D66" s="15"/>
      <c r="E66" s="75"/>
      <c r="F66" s="18"/>
      <c r="G66" s="18"/>
      <c r="H66" s="168"/>
      <c r="I66" s="176"/>
      <c r="J66" s="172"/>
      <c r="K66" s="175"/>
      <c r="L66" s="173"/>
      <c r="M66" s="48"/>
      <c r="N66" s="4"/>
      <c r="O66" s="42"/>
      <c r="P66" s="43"/>
      <c r="Q66" s="43"/>
      <c r="R66" s="43"/>
      <c r="S66" s="43"/>
      <c r="T66" s="43"/>
      <c r="U66" s="45"/>
    </row>
    <row r="67" spans="1:21" ht="14.4" customHeight="1" outlineLevel="2" x14ac:dyDescent="0.3">
      <c r="A67" s="217" t="s">
        <v>96</v>
      </c>
      <c r="B67" s="15"/>
      <c r="C67" s="15"/>
      <c r="D67" s="93"/>
      <c r="E67" s="75"/>
      <c r="F67" s="18"/>
      <c r="G67" s="18"/>
      <c r="H67" s="168"/>
      <c r="I67" s="180"/>
      <c r="J67" s="172"/>
      <c r="K67" s="175"/>
      <c r="L67" s="173"/>
      <c r="M67" s="48"/>
      <c r="N67" s="4"/>
      <c r="O67" s="42"/>
      <c r="P67" s="43"/>
      <c r="Q67" s="43"/>
      <c r="R67" s="43"/>
      <c r="S67" s="43"/>
      <c r="T67" s="43"/>
      <c r="U67" s="45"/>
    </row>
    <row r="68" spans="1:21" ht="14.4" customHeight="1" outlineLevel="2" x14ac:dyDescent="0.3">
      <c r="A68" s="217" t="s">
        <v>96</v>
      </c>
      <c r="B68" s="15"/>
      <c r="C68" s="83"/>
      <c r="D68" s="92"/>
      <c r="E68" s="75"/>
      <c r="F68" s="18"/>
      <c r="G68" s="18"/>
      <c r="H68" s="168"/>
      <c r="I68" s="174"/>
      <c r="J68" s="172"/>
      <c r="K68" s="175"/>
      <c r="L68" s="173"/>
      <c r="M68" s="48"/>
      <c r="N68" s="4"/>
      <c r="O68" s="42"/>
      <c r="P68" s="43"/>
      <c r="Q68" s="43"/>
      <c r="R68" s="43"/>
      <c r="S68" s="43"/>
      <c r="T68" s="43"/>
      <c r="U68" s="45"/>
    </row>
    <row r="69" spans="1:21" ht="14.4" customHeight="1" outlineLevel="2" x14ac:dyDescent="0.3">
      <c r="A69" s="217" t="s">
        <v>96</v>
      </c>
      <c r="B69" s="15"/>
      <c r="C69" s="15"/>
      <c r="D69" s="15"/>
      <c r="E69" s="75"/>
      <c r="F69" s="18"/>
      <c r="G69" s="18"/>
      <c r="H69" s="168"/>
      <c r="I69" s="176"/>
      <c r="J69" s="172"/>
      <c r="K69" s="175"/>
      <c r="L69" s="173"/>
      <c r="M69" s="48"/>
      <c r="N69" s="4"/>
      <c r="O69" s="42"/>
      <c r="P69" s="43"/>
      <c r="Q69" s="43"/>
      <c r="R69" s="43"/>
      <c r="S69" s="43"/>
      <c r="T69" s="43"/>
      <c r="U69" s="45"/>
    </row>
    <row r="70" spans="1:21" ht="14.4" customHeight="1" outlineLevel="2" x14ac:dyDescent="0.3">
      <c r="A70" s="217" t="s">
        <v>96</v>
      </c>
      <c r="B70" s="93"/>
      <c r="C70" s="15"/>
      <c r="D70" s="133"/>
      <c r="E70" s="75"/>
      <c r="F70" s="18"/>
      <c r="G70" s="18"/>
      <c r="H70" s="168"/>
      <c r="I70" s="178"/>
      <c r="J70" s="172"/>
      <c r="K70" s="175"/>
      <c r="L70" s="173"/>
      <c r="M70" s="48"/>
      <c r="N70" s="4"/>
      <c r="O70" s="42"/>
      <c r="P70" s="46"/>
      <c r="Q70" s="46"/>
      <c r="R70" s="46"/>
      <c r="S70" s="46"/>
      <c r="T70" s="46"/>
      <c r="U70" s="45"/>
    </row>
    <row r="71" spans="1:21" x14ac:dyDescent="0.3">
      <c r="A71" s="217" t="s">
        <v>96</v>
      </c>
      <c r="B71" s="15"/>
      <c r="C71" s="15"/>
      <c r="D71" s="94"/>
      <c r="E71" s="75"/>
      <c r="F71" s="143"/>
      <c r="G71" s="143"/>
      <c r="H71" s="168"/>
      <c r="I71" s="177"/>
      <c r="J71" s="172"/>
      <c r="K71" s="175"/>
      <c r="L71" s="173"/>
      <c r="M71" s="48"/>
      <c r="N71" s="1"/>
      <c r="O71" s="42"/>
      <c r="P71" s="5"/>
      <c r="Q71" s="5"/>
      <c r="R71" s="5"/>
      <c r="S71" s="5"/>
      <c r="T71" s="5"/>
      <c r="U71" s="5"/>
    </row>
    <row r="72" spans="1:21" x14ac:dyDescent="0.3">
      <c r="I72" s="175"/>
      <c r="J72" s="175"/>
      <c r="K72" s="175"/>
      <c r="L72" s="175"/>
      <c r="M72" s="1"/>
    </row>
    <row r="73" spans="1:21" x14ac:dyDescent="0.3">
      <c r="B73" s="1"/>
      <c r="D73" s="1"/>
      <c r="E73" s="1"/>
      <c r="F73" s="1"/>
      <c r="G73" s="1"/>
      <c r="H73" s="1"/>
      <c r="I73" s="176"/>
      <c r="J73" s="176"/>
      <c r="K73" s="176"/>
      <c r="L73" s="176"/>
      <c r="M73" s="30"/>
      <c r="O73" s="29"/>
      <c r="P73" s="1"/>
      <c r="Q73" s="1"/>
      <c r="R73" s="29"/>
      <c r="S73" s="1"/>
    </row>
    <row r="74" spans="1:21" x14ac:dyDescent="0.3">
      <c r="B74" s="1"/>
      <c r="D74" s="1"/>
      <c r="E74" s="1"/>
      <c r="F74" s="1"/>
      <c r="G74" s="1"/>
      <c r="H74" s="1"/>
      <c r="I74" s="176"/>
      <c r="J74" s="176"/>
      <c r="K74" s="176"/>
      <c r="L74" s="176"/>
      <c r="M74" s="30"/>
      <c r="O74" s="29"/>
      <c r="P74" s="1"/>
      <c r="Q74" s="1"/>
      <c r="R74" s="29"/>
      <c r="S74" s="1"/>
    </row>
    <row r="75" spans="1:21" ht="15" thickBot="1" x14ac:dyDescent="0.35">
      <c r="B75" s="1"/>
      <c r="D75" s="1"/>
      <c r="E75" s="1"/>
      <c r="F75" s="1"/>
      <c r="G75" s="1"/>
      <c r="H75" s="1"/>
      <c r="I75" s="176"/>
      <c r="J75" s="176"/>
      <c r="K75" s="176"/>
      <c r="L75" s="176"/>
      <c r="M75" s="30"/>
      <c r="O75" s="16"/>
      <c r="P75" s="1"/>
      <c r="Q75" s="1"/>
      <c r="R75" s="16"/>
      <c r="S75" s="16"/>
    </row>
    <row r="76" spans="1:21" ht="18.600000000000001" thickBot="1" x14ac:dyDescent="0.4">
      <c r="A76" s="115" t="s">
        <v>101</v>
      </c>
      <c r="B76" s="116"/>
      <c r="C76" s="116"/>
      <c r="D76" s="116"/>
      <c r="E76" s="116"/>
      <c r="F76" s="116"/>
      <c r="G76" s="116"/>
      <c r="H76" s="117"/>
      <c r="I76" s="282" t="s">
        <v>45</v>
      </c>
      <c r="J76" s="283"/>
      <c r="K76" s="283"/>
      <c r="L76" s="283"/>
      <c r="M76" s="209"/>
      <c r="O76" s="141" t="s">
        <v>37</v>
      </c>
      <c r="P76" s="11" t="str">
        <f>P10</f>
        <v>monetary_value</v>
      </c>
      <c r="Q76" s="11" t="str">
        <f>Q10</f>
        <v>EUR</v>
      </c>
      <c r="R76" s="11"/>
      <c r="S76" s="11" t="str">
        <f>S10</f>
        <v>climate_change_total</v>
      </c>
      <c r="T76" s="11" t="str">
        <f>T10</f>
        <v>kg CO2-eq</v>
      </c>
      <c r="U76" s="11"/>
    </row>
    <row r="77" spans="1:21" ht="18.600000000000001" thickBot="1" x14ac:dyDescent="0.4">
      <c r="A77" s="122" t="s">
        <v>102</v>
      </c>
      <c r="B77" s="123" t="s">
        <v>47</v>
      </c>
      <c r="C77" s="123" t="s">
        <v>48</v>
      </c>
      <c r="D77" s="123" t="s">
        <v>49</v>
      </c>
      <c r="E77" s="123" t="s">
        <v>50</v>
      </c>
      <c r="F77" s="123" t="s">
        <v>51</v>
      </c>
      <c r="G77" s="123" t="s">
        <v>52</v>
      </c>
      <c r="H77" s="124" t="s">
        <v>53</v>
      </c>
      <c r="I77" s="181" t="s">
        <v>54</v>
      </c>
      <c r="J77" s="181" t="s">
        <v>50</v>
      </c>
      <c r="K77" s="181" t="s">
        <v>31</v>
      </c>
      <c r="L77" s="205" t="s">
        <v>48</v>
      </c>
      <c r="M77" s="205" t="s">
        <v>55</v>
      </c>
      <c r="O77" s="122" t="s">
        <v>56</v>
      </c>
      <c r="P77" s="122" t="s">
        <v>57</v>
      </c>
      <c r="Q77" s="122" t="s">
        <v>58</v>
      </c>
      <c r="R77" s="122" t="s">
        <v>53</v>
      </c>
      <c r="S77" s="122" t="s">
        <v>57</v>
      </c>
      <c r="T77" s="122" t="s">
        <v>58</v>
      </c>
      <c r="U77" s="139" t="s">
        <v>53</v>
      </c>
    </row>
    <row r="78" spans="1:21" ht="39.9" customHeight="1" x14ac:dyDescent="0.3">
      <c r="A78" s="130" t="s">
        <v>59</v>
      </c>
      <c r="B78" s="130" t="s">
        <v>60</v>
      </c>
      <c r="C78" s="130" t="s">
        <v>103</v>
      </c>
      <c r="D78" s="130" t="s">
        <v>62</v>
      </c>
      <c r="E78" s="130" t="s">
        <v>63</v>
      </c>
      <c r="F78" s="130" t="s">
        <v>64</v>
      </c>
      <c r="G78" s="130" t="s">
        <v>65</v>
      </c>
      <c r="H78" s="130" t="s">
        <v>66</v>
      </c>
      <c r="I78" s="182"/>
      <c r="J78" s="182"/>
      <c r="K78" s="206"/>
      <c r="L78" s="207"/>
      <c r="M78" s="208"/>
      <c r="N78" s="204"/>
      <c r="O78" s="138" t="s">
        <v>67</v>
      </c>
      <c r="P78" s="130" t="s">
        <v>68</v>
      </c>
      <c r="Q78" s="130" t="s">
        <v>63</v>
      </c>
      <c r="R78" s="130" t="s">
        <v>66</v>
      </c>
      <c r="S78" s="130" t="s">
        <v>69</v>
      </c>
      <c r="T78" s="130" t="s">
        <v>63</v>
      </c>
      <c r="U78" s="140" t="s">
        <v>66</v>
      </c>
    </row>
    <row r="79" spans="1:21" x14ac:dyDescent="0.3">
      <c r="A79" s="218" t="s">
        <v>104</v>
      </c>
      <c r="B79" s="271"/>
      <c r="C79" s="82"/>
      <c r="D79" s="226"/>
      <c r="E79" s="19"/>
      <c r="F79" s="19"/>
      <c r="G79" s="19"/>
      <c r="H79" s="96"/>
      <c r="I79" s="169"/>
      <c r="J79" s="171"/>
      <c r="K79" s="171"/>
      <c r="L79" s="219"/>
      <c r="M79" s="64"/>
      <c r="N79" s="204"/>
      <c r="O79" s="137" t="str">
        <f>IF(B79="","",B79)</f>
        <v/>
      </c>
      <c r="P79" s="62"/>
      <c r="Q79" s="19" t="str">
        <f>IF(P79&lt;&gt;0,Q$12,"")</f>
        <v/>
      </c>
      <c r="R79" s="41"/>
      <c r="S79" s="63"/>
      <c r="T79" s="19" t="str">
        <f>IF(S79&lt;&gt;0,T$12,"")</f>
        <v/>
      </c>
      <c r="U79" s="64"/>
    </row>
    <row r="80" spans="1:21" x14ac:dyDescent="0.3">
      <c r="A80" s="218" t="s">
        <v>104</v>
      </c>
      <c r="B80" s="271"/>
      <c r="C80" s="82"/>
      <c r="D80" s="226"/>
      <c r="E80" s="19"/>
      <c r="F80" s="19"/>
      <c r="G80" s="19"/>
      <c r="H80" s="96"/>
      <c r="I80" s="169"/>
      <c r="J80" s="171"/>
      <c r="K80" s="171"/>
      <c r="L80" s="219"/>
      <c r="M80" s="64"/>
      <c r="N80" s="204"/>
      <c r="O80" s="137" t="str">
        <f t="shared" ref="O80:O81" si="6">IF(B80="","",B80)</f>
        <v/>
      </c>
      <c r="P80" s="62"/>
      <c r="Q80" s="19" t="str">
        <f t="shared" ref="Q80:Q81" si="7">IF(P80&lt;&gt;0,Q$12,"")</f>
        <v/>
      </c>
      <c r="R80" s="41"/>
      <c r="S80" s="63"/>
      <c r="T80" s="19" t="str">
        <f t="shared" ref="T80:T81" si="8">IF(S80&lt;&gt;0,T$12,"")</f>
        <v/>
      </c>
      <c r="U80" s="64"/>
    </row>
    <row r="81" spans="1:21" x14ac:dyDescent="0.3">
      <c r="A81" s="218" t="s">
        <v>104</v>
      </c>
      <c r="B81" s="271"/>
      <c r="C81" s="87"/>
      <c r="D81" s="226"/>
      <c r="E81" s="19"/>
      <c r="F81" s="19"/>
      <c r="G81" s="19"/>
      <c r="H81" s="96"/>
      <c r="I81" s="169"/>
      <c r="J81" s="171"/>
      <c r="K81" s="171"/>
      <c r="L81" s="219"/>
      <c r="M81" s="64"/>
      <c r="N81" s="204"/>
      <c r="O81" s="137" t="str">
        <f t="shared" si="6"/>
        <v/>
      </c>
      <c r="P81" s="62"/>
      <c r="Q81" s="19" t="str">
        <f t="shared" si="7"/>
        <v/>
      </c>
      <c r="R81" s="41"/>
      <c r="S81" s="63"/>
      <c r="T81" s="19" t="str">
        <f t="shared" si="8"/>
        <v/>
      </c>
      <c r="U81" s="64"/>
    </row>
    <row r="82" spans="1:21" ht="15" customHeight="1" x14ac:dyDescent="0.3">
      <c r="A82" s="218" t="s">
        <v>104</v>
      </c>
      <c r="B82" s="230"/>
      <c r="C82" s="87"/>
      <c r="D82" s="230"/>
      <c r="E82" s="19"/>
      <c r="F82" s="19"/>
      <c r="G82" s="19"/>
      <c r="H82" s="13"/>
      <c r="I82" s="191"/>
      <c r="J82" s="171"/>
      <c r="K82" s="215"/>
      <c r="L82" s="219"/>
      <c r="M82" s="64"/>
      <c r="N82" s="204"/>
      <c r="O82" s="137" t="str">
        <f t="shared" ref="O82:O91" si="9">IF(B82="","",B82)</f>
        <v/>
      </c>
      <c r="P82" s="62"/>
      <c r="Q82" s="19" t="str">
        <f t="shared" ref="Q82:Q91" si="10">IF(P82&lt;&gt;0,Q$12,"")</f>
        <v/>
      </c>
      <c r="R82" s="41"/>
      <c r="S82" s="63"/>
      <c r="T82" s="19" t="str">
        <f t="shared" ref="T82:T91" si="11">IF(S82&lt;&gt;0,T$12,"")</f>
        <v/>
      </c>
      <c r="U82" s="64"/>
    </row>
    <row r="83" spans="1:21" x14ac:dyDescent="0.3">
      <c r="A83" s="218" t="s">
        <v>105</v>
      </c>
      <c r="B83" s="85"/>
      <c r="C83" s="97"/>
      <c r="D83" s="98"/>
      <c r="E83" s="99"/>
      <c r="F83" s="19"/>
      <c r="G83" s="19"/>
      <c r="H83" s="100"/>
      <c r="I83" s="210"/>
      <c r="J83" s="211"/>
      <c r="K83" s="171"/>
      <c r="L83" s="219"/>
      <c r="M83" s="64"/>
      <c r="N83" s="204"/>
      <c r="O83" s="137" t="str">
        <f t="shared" si="9"/>
        <v/>
      </c>
      <c r="P83" s="62"/>
      <c r="Q83" s="19" t="str">
        <f t="shared" si="10"/>
        <v/>
      </c>
      <c r="R83" s="41"/>
      <c r="S83" s="63"/>
      <c r="T83" s="19" t="str">
        <f t="shared" si="11"/>
        <v/>
      </c>
      <c r="U83" s="64"/>
    </row>
    <row r="84" spans="1:21" x14ac:dyDescent="0.3">
      <c r="A84" s="218" t="s">
        <v>105</v>
      </c>
      <c r="B84" s="85"/>
      <c r="C84" s="97"/>
      <c r="D84" s="98"/>
      <c r="E84" s="99"/>
      <c r="F84" s="19"/>
      <c r="G84" s="19"/>
      <c r="H84" s="96"/>
      <c r="I84" s="210"/>
      <c r="J84" s="211"/>
      <c r="K84" s="171"/>
      <c r="L84" s="219"/>
      <c r="M84" s="64"/>
      <c r="N84" s="204"/>
      <c r="O84" s="137" t="str">
        <f t="shared" si="9"/>
        <v/>
      </c>
      <c r="P84" s="62"/>
      <c r="Q84" s="19" t="str">
        <f t="shared" si="10"/>
        <v/>
      </c>
      <c r="R84" s="41"/>
      <c r="S84" s="63"/>
      <c r="T84" s="19" t="str">
        <f t="shared" si="11"/>
        <v/>
      </c>
      <c r="U84" s="64"/>
    </row>
    <row r="85" spans="1:21" x14ac:dyDescent="0.3">
      <c r="A85" s="218" t="s">
        <v>105</v>
      </c>
      <c r="B85" s="85"/>
      <c r="C85" s="97"/>
      <c r="D85" s="98"/>
      <c r="E85" s="99"/>
      <c r="F85" s="19"/>
      <c r="G85" s="19"/>
      <c r="H85" s="96"/>
      <c r="I85" s="210"/>
      <c r="J85" s="211"/>
      <c r="K85" s="171"/>
      <c r="L85" s="219"/>
      <c r="M85" s="64"/>
      <c r="N85" s="204"/>
      <c r="O85" s="137" t="str">
        <f t="shared" si="9"/>
        <v/>
      </c>
      <c r="P85" s="62"/>
      <c r="Q85" s="19" t="str">
        <f t="shared" si="10"/>
        <v/>
      </c>
      <c r="R85" s="41"/>
      <c r="S85" s="63"/>
      <c r="T85" s="19" t="str">
        <f t="shared" si="11"/>
        <v/>
      </c>
      <c r="U85" s="64"/>
    </row>
    <row r="86" spans="1:21" x14ac:dyDescent="0.3">
      <c r="A86" s="218" t="s">
        <v>106</v>
      </c>
      <c r="B86" s="85"/>
      <c r="C86" s="97"/>
      <c r="D86" s="98"/>
      <c r="E86" s="99"/>
      <c r="F86" s="19"/>
      <c r="G86" s="19"/>
      <c r="H86" s="96"/>
      <c r="I86" s="210"/>
      <c r="J86" s="211"/>
      <c r="K86" s="171"/>
      <c r="L86" s="219"/>
      <c r="M86" s="64"/>
      <c r="N86" s="204"/>
      <c r="O86" s="137" t="str">
        <f t="shared" si="9"/>
        <v/>
      </c>
      <c r="P86" s="62"/>
      <c r="Q86" s="19" t="str">
        <f t="shared" si="10"/>
        <v/>
      </c>
      <c r="R86" s="41"/>
      <c r="S86" s="63"/>
      <c r="T86" s="19" t="str">
        <f t="shared" si="11"/>
        <v/>
      </c>
      <c r="U86" s="64"/>
    </row>
    <row r="87" spans="1:21" x14ac:dyDescent="0.3">
      <c r="A87" s="218" t="s">
        <v>106</v>
      </c>
      <c r="B87" s="85"/>
      <c r="C87" s="97"/>
      <c r="D87" s="98"/>
      <c r="E87" s="99"/>
      <c r="F87" s="19"/>
      <c r="G87" s="19"/>
      <c r="H87" s="96"/>
      <c r="I87" s="210"/>
      <c r="J87" s="211"/>
      <c r="K87" s="171"/>
      <c r="L87" s="219"/>
      <c r="M87" s="64"/>
      <c r="N87" s="204"/>
      <c r="O87" s="137" t="str">
        <f t="shared" si="9"/>
        <v/>
      </c>
      <c r="P87" s="62"/>
      <c r="Q87" s="19" t="str">
        <f t="shared" si="10"/>
        <v/>
      </c>
      <c r="R87" s="41"/>
      <c r="S87" s="63"/>
      <c r="T87" s="19" t="str">
        <f t="shared" si="11"/>
        <v/>
      </c>
      <c r="U87" s="64"/>
    </row>
    <row r="88" spans="1:21" x14ac:dyDescent="0.3">
      <c r="A88" s="218" t="s">
        <v>106</v>
      </c>
      <c r="B88" s="85"/>
      <c r="C88" s="97"/>
      <c r="D88" s="98"/>
      <c r="E88" s="99"/>
      <c r="F88" s="19"/>
      <c r="G88" s="19"/>
      <c r="H88" s="96"/>
      <c r="I88" s="210"/>
      <c r="J88" s="211"/>
      <c r="K88" s="171"/>
      <c r="L88" s="219"/>
      <c r="M88" s="64"/>
      <c r="N88" s="204"/>
      <c r="O88" s="137" t="str">
        <f t="shared" si="9"/>
        <v/>
      </c>
      <c r="P88" s="62"/>
      <c r="Q88" s="19" t="str">
        <f t="shared" si="10"/>
        <v/>
      </c>
      <c r="R88" s="41"/>
      <c r="S88" s="63"/>
      <c r="T88" s="19" t="str">
        <f t="shared" si="11"/>
        <v/>
      </c>
      <c r="U88" s="64"/>
    </row>
    <row r="89" spans="1:21" x14ac:dyDescent="0.3">
      <c r="A89" s="218" t="s">
        <v>107</v>
      </c>
      <c r="B89" s="85"/>
      <c r="C89" s="97"/>
      <c r="D89" s="98"/>
      <c r="E89" s="99"/>
      <c r="F89" s="19"/>
      <c r="G89" s="19"/>
      <c r="H89" s="96"/>
      <c r="I89" s="210"/>
      <c r="J89" s="211"/>
      <c r="K89" s="171"/>
      <c r="L89" s="219"/>
      <c r="M89" s="64"/>
      <c r="N89" s="204"/>
      <c r="O89" s="137" t="str">
        <f t="shared" si="9"/>
        <v/>
      </c>
      <c r="P89" s="62"/>
      <c r="Q89" s="19" t="str">
        <f t="shared" si="10"/>
        <v/>
      </c>
      <c r="R89" s="41"/>
      <c r="S89" s="63"/>
      <c r="T89" s="19" t="str">
        <f t="shared" si="11"/>
        <v/>
      </c>
      <c r="U89" s="64"/>
    </row>
    <row r="90" spans="1:21" x14ac:dyDescent="0.3">
      <c r="A90" s="218" t="s">
        <v>107</v>
      </c>
      <c r="B90" s="85"/>
      <c r="C90" s="101"/>
      <c r="D90" s="134"/>
      <c r="E90" s="99"/>
      <c r="F90" s="135"/>
      <c r="G90" s="102"/>
      <c r="H90" s="96"/>
      <c r="I90" s="212"/>
      <c r="J90" s="211"/>
      <c r="K90" s="213"/>
      <c r="L90" s="220"/>
      <c r="M90" s="64"/>
      <c r="N90" s="204"/>
      <c r="O90" s="137" t="str">
        <f t="shared" si="9"/>
        <v/>
      </c>
      <c r="P90" s="62"/>
      <c r="Q90" s="19" t="str">
        <f t="shared" si="10"/>
        <v/>
      </c>
      <c r="R90" s="41"/>
      <c r="S90" s="63"/>
      <c r="T90" s="19" t="str">
        <f t="shared" si="11"/>
        <v/>
      </c>
      <c r="U90" s="64"/>
    </row>
    <row r="91" spans="1:21" x14ac:dyDescent="0.3">
      <c r="A91" s="218" t="s">
        <v>107</v>
      </c>
      <c r="B91" s="85"/>
      <c r="C91" s="101"/>
      <c r="D91" s="134"/>
      <c r="E91" s="99"/>
      <c r="F91" s="135"/>
      <c r="G91" s="102"/>
      <c r="H91" s="96"/>
      <c r="I91" s="212"/>
      <c r="J91" s="211"/>
      <c r="K91" s="213"/>
      <c r="L91" s="220"/>
      <c r="M91" s="64"/>
      <c r="N91" s="204"/>
      <c r="O91" s="137" t="str">
        <f t="shared" si="9"/>
        <v/>
      </c>
      <c r="P91" s="62"/>
      <c r="Q91" s="19" t="str">
        <f t="shared" si="10"/>
        <v/>
      </c>
      <c r="R91" s="41"/>
      <c r="S91" s="63"/>
      <c r="T91" s="19" t="str">
        <f t="shared" si="11"/>
        <v/>
      </c>
      <c r="U91" s="64"/>
    </row>
    <row r="92" spans="1:21" x14ac:dyDescent="0.3">
      <c r="M92" s="30"/>
    </row>
    <row r="93" spans="1:21" x14ac:dyDescent="0.3">
      <c r="M93" s="30"/>
    </row>
    <row r="102" spans="2:14" x14ac:dyDescent="0.3">
      <c r="B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</row>
    <row r="103" spans="2:14" x14ac:dyDescent="0.3">
      <c r="B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</row>
    <row r="104" spans="2:14" x14ac:dyDescent="0.3">
      <c r="B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</row>
    <row r="105" spans="2:14" x14ac:dyDescent="0.3">
      <c r="B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</row>
    <row r="106" spans="2:14" x14ac:dyDescent="0.3">
      <c r="B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</row>
    <row r="107" spans="2:14" x14ac:dyDescent="0.3">
      <c r="B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</row>
    <row r="108" spans="2:14" x14ac:dyDescent="0.3">
      <c r="B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</row>
    <row r="109" spans="2:14" x14ac:dyDescent="0.3">
      <c r="B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</row>
    <row r="110" spans="2:14" x14ac:dyDescent="0.3">
      <c r="B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</row>
    <row r="111" spans="2:14" x14ac:dyDescent="0.3">
      <c r="B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</row>
    <row r="112" spans="2:14" x14ac:dyDescent="0.3">
      <c r="B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</row>
    <row r="113" spans="2:14" x14ac:dyDescent="0.3">
      <c r="B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</row>
    <row r="114" spans="2:14" x14ac:dyDescent="0.3">
      <c r="B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</row>
    <row r="115" spans="2:14" x14ac:dyDescent="0.3">
      <c r="B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</row>
    <row r="116" spans="2:14" x14ac:dyDescent="0.3">
      <c r="B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</row>
    <row r="117" spans="2:14" x14ac:dyDescent="0.3">
      <c r="B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</row>
    <row r="118" spans="2:14" x14ac:dyDescent="0.3">
      <c r="B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</row>
    <row r="119" spans="2:14" x14ac:dyDescent="0.3">
      <c r="B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</row>
    <row r="120" spans="2:14" x14ac:dyDescent="0.3">
      <c r="B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</row>
    <row r="121" spans="2:14" x14ac:dyDescent="0.3">
      <c r="B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</row>
    <row r="122" spans="2:14" x14ac:dyDescent="0.3">
      <c r="B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</row>
    <row r="123" spans="2:14" x14ac:dyDescent="0.3">
      <c r="B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</row>
    <row r="124" spans="2:14" x14ac:dyDescent="0.3">
      <c r="B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</row>
    <row r="125" spans="2:14" x14ac:dyDescent="0.3">
      <c r="B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</row>
    <row r="126" spans="2:14" x14ac:dyDescent="0.3">
      <c r="B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</row>
    <row r="127" spans="2:14" x14ac:dyDescent="0.3">
      <c r="B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</row>
    <row r="128" spans="2:14" x14ac:dyDescent="0.3">
      <c r="B128" s="1"/>
      <c r="D128" s="1"/>
      <c r="E128" s="1"/>
      <c r="F128" s="1"/>
      <c r="G128" s="1"/>
      <c r="H128" s="1"/>
      <c r="I128" s="1"/>
      <c r="J128" s="1"/>
      <c r="K128" s="1"/>
      <c r="L128" s="1"/>
    </row>
    <row r="129" spans="5:12" x14ac:dyDescent="0.3">
      <c r="E129" s="1"/>
      <c r="F129" s="1"/>
      <c r="G129" s="1"/>
      <c r="H129" s="1"/>
      <c r="J129" s="1"/>
      <c r="K129" s="1"/>
      <c r="L129" s="1"/>
    </row>
  </sheetData>
  <mergeCells count="3">
    <mergeCell ref="I76:L76"/>
    <mergeCell ref="B6:C6"/>
    <mergeCell ref="I12:M12"/>
  </mergeCells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86EC9-37B8-4A38-BED5-F5194EB96B66}">
  <dimension ref="A1:D96"/>
  <sheetViews>
    <sheetView showGridLines="0" zoomScale="85" zoomScaleNormal="85" workbookViewId="0">
      <selection activeCell="L30" sqref="L30"/>
    </sheetView>
  </sheetViews>
  <sheetFormatPr defaultRowHeight="14.4" x14ac:dyDescent="0.3"/>
  <cols>
    <col min="1" max="1" width="58.5546875" customWidth="1"/>
    <col min="2" max="2" width="58.5546875" style="128" customWidth="1"/>
    <col min="3" max="3" width="27" style="266" customWidth="1"/>
    <col min="4" max="4" width="27.88671875" customWidth="1"/>
  </cols>
  <sheetData>
    <row r="1" spans="1:4" ht="18" x14ac:dyDescent="0.35">
      <c r="A1" s="222" t="s">
        <v>108</v>
      </c>
      <c r="B1" s="275" t="s">
        <v>48</v>
      </c>
      <c r="C1" s="289"/>
      <c r="D1" s="289"/>
    </row>
    <row r="2" spans="1:4" ht="15" customHeight="1" x14ac:dyDescent="0.3">
      <c r="A2" s="223" t="s">
        <v>404</v>
      </c>
      <c r="B2" s="276" t="s">
        <v>405</v>
      </c>
      <c r="C2" s="290"/>
      <c r="D2" s="290"/>
    </row>
    <row r="3" spans="1:4" ht="15" customHeight="1" x14ac:dyDescent="0.3">
      <c r="A3" s="223" t="s">
        <v>406</v>
      </c>
      <c r="B3" s="276" t="s">
        <v>407</v>
      </c>
      <c r="C3" s="290"/>
      <c r="D3" s="290"/>
    </row>
    <row r="4" spans="1:4" ht="18" x14ac:dyDescent="0.35">
      <c r="A4" s="257" t="s">
        <v>109</v>
      </c>
      <c r="B4" s="273" t="s">
        <v>48</v>
      </c>
      <c r="C4" s="259" t="s">
        <v>62</v>
      </c>
      <c r="D4" s="224" t="s">
        <v>50</v>
      </c>
    </row>
    <row r="5" spans="1:4" ht="14.4" customHeight="1" x14ac:dyDescent="0.3">
      <c r="A5" s="225" t="s">
        <v>353</v>
      </c>
      <c r="B5" s="277"/>
      <c r="C5" s="260" t="s">
        <v>49</v>
      </c>
      <c r="D5" s="225" t="s">
        <v>63</v>
      </c>
    </row>
    <row r="6" spans="1:4" x14ac:dyDescent="0.3">
      <c r="A6" s="226" t="s">
        <v>62</v>
      </c>
      <c r="B6" s="136" t="s">
        <v>414</v>
      </c>
      <c r="C6" s="261"/>
      <c r="D6" s="226"/>
    </row>
    <row r="7" spans="1:4" x14ac:dyDescent="0.3">
      <c r="A7" s="226" t="s">
        <v>110</v>
      </c>
      <c r="B7" s="278" t="s">
        <v>415</v>
      </c>
      <c r="C7" s="230"/>
      <c r="D7" s="226"/>
    </row>
    <row r="8" spans="1:4" x14ac:dyDescent="0.3">
      <c r="A8" s="226" t="s">
        <v>111</v>
      </c>
      <c r="B8" s="136" t="s">
        <v>403</v>
      </c>
      <c r="C8" s="261"/>
      <c r="D8" s="226"/>
    </row>
    <row r="9" spans="1:4" x14ac:dyDescent="0.3">
      <c r="A9" s="226" t="s">
        <v>351</v>
      </c>
      <c r="B9" s="136" t="s">
        <v>416</v>
      </c>
      <c r="C9" s="261"/>
      <c r="D9" s="226"/>
    </row>
    <row r="10" spans="1:4" x14ac:dyDescent="0.3">
      <c r="A10" s="226" t="s">
        <v>352</v>
      </c>
      <c r="B10" s="136" t="s">
        <v>402</v>
      </c>
      <c r="C10" s="261"/>
      <c r="D10" s="226"/>
    </row>
    <row r="11" spans="1:4" ht="18" x14ac:dyDescent="0.35">
      <c r="A11" s="257" t="s">
        <v>354</v>
      </c>
      <c r="B11" s="273"/>
      <c r="C11" s="268" t="s">
        <v>62</v>
      </c>
      <c r="D11" s="257" t="s">
        <v>50</v>
      </c>
    </row>
    <row r="12" spans="1:4" x14ac:dyDescent="0.3">
      <c r="A12" s="227"/>
      <c r="B12" s="279"/>
      <c r="C12" s="269"/>
      <c r="D12" s="227"/>
    </row>
    <row r="13" spans="1:4" x14ac:dyDescent="0.3">
      <c r="A13" s="226" t="s">
        <v>355</v>
      </c>
      <c r="B13" s="128" t="s">
        <v>444</v>
      </c>
      <c r="C13" s="261"/>
      <c r="D13" s="226"/>
    </row>
    <row r="14" spans="1:4" x14ac:dyDescent="0.3">
      <c r="A14" s="226" t="s">
        <v>356</v>
      </c>
      <c r="B14" s="136" t="s">
        <v>445</v>
      </c>
      <c r="C14" s="261"/>
      <c r="D14" s="226"/>
    </row>
    <row r="15" spans="1:4" x14ac:dyDescent="0.3">
      <c r="A15" s="226" t="s">
        <v>357</v>
      </c>
      <c r="B15" s="136" t="s">
        <v>446</v>
      </c>
      <c r="C15" s="262"/>
      <c r="D15" s="226"/>
    </row>
    <row r="16" spans="1:4" x14ac:dyDescent="0.3">
      <c r="A16" s="226" t="s">
        <v>358</v>
      </c>
      <c r="B16" s="136" t="s">
        <v>447</v>
      </c>
      <c r="C16" s="261"/>
      <c r="D16" s="226"/>
    </row>
    <row r="17" spans="1:4" x14ac:dyDescent="0.3">
      <c r="A17" s="226" t="s">
        <v>359</v>
      </c>
      <c r="B17" s="136"/>
      <c r="C17" s="261"/>
      <c r="D17" s="226"/>
    </row>
    <row r="18" spans="1:4" ht="18" x14ac:dyDescent="0.35">
      <c r="A18" s="257" t="s">
        <v>360</v>
      </c>
      <c r="B18" s="273" t="s">
        <v>400</v>
      </c>
      <c r="C18" s="268" t="s">
        <v>62</v>
      </c>
      <c r="D18" s="257" t="s">
        <v>50</v>
      </c>
    </row>
    <row r="19" spans="1:4" x14ac:dyDescent="0.3">
      <c r="A19" s="272" t="s">
        <v>389</v>
      </c>
      <c r="B19" s="272"/>
      <c r="C19" s="269"/>
      <c r="D19" s="227"/>
    </row>
    <row r="20" spans="1:4" x14ac:dyDescent="0.3">
      <c r="A20" s="226" t="s">
        <v>362</v>
      </c>
      <c r="B20" s="278" t="s">
        <v>410</v>
      </c>
      <c r="C20" s="230"/>
      <c r="D20" s="226"/>
    </row>
    <row r="21" spans="1:4" ht="15" customHeight="1" x14ac:dyDescent="0.3">
      <c r="A21" s="226" t="s">
        <v>363</v>
      </c>
      <c r="B21" s="136" t="s">
        <v>411</v>
      </c>
      <c r="C21" s="261"/>
      <c r="D21" s="226"/>
    </row>
    <row r="22" spans="1:4" x14ac:dyDescent="0.3">
      <c r="A22" s="226" t="s">
        <v>364</v>
      </c>
      <c r="B22" s="136" t="s">
        <v>412</v>
      </c>
      <c r="C22" s="261"/>
      <c r="D22" s="226"/>
    </row>
    <row r="23" spans="1:4" x14ac:dyDescent="0.3">
      <c r="A23" s="226" t="s">
        <v>365</v>
      </c>
      <c r="B23" s="136" t="s">
        <v>413</v>
      </c>
      <c r="C23" s="261"/>
      <c r="D23" s="226"/>
    </row>
    <row r="24" spans="1:4" x14ac:dyDescent="0.3">
      <c r="A24" s="226" t="s">
        <v>366</v>
      </c>
      <c r="B24" s="136" t="s">
        <v>421</v>
      </c>
      <c r="C24" s="261"/>
      <c r="D24" s="226"/>
    </row>
    <row r="25" spans="1:4" ht="18" x14ac:dyDescent="0.3">
      <c r="A25" s="273" t="s">
        <v>381</v>
      </c>
      <c r="B25" s="273" t="s">
        <v>400</v>
      </c>
      <c r="C25" s="274" t="s">
        <v>62</v>
      </c>
      <c r="D25" s="273" t="s">
        <v>50</v>
      </c>
    </row>
    <row r="26" spans="1:4" x14ac:dyDescent="0.3">
      <c r="A26" s="272" t="s">
        <v>390</v>
      </c>
      <c r="B26" s="272"/>
      <c r="C26" s="269"/>
      <c r="D26" s="227"/>
    </row>
    <row r="27" spans="1:4" x14ac:dyDescent="0.3">
      <c r="A27" s="226" t="s">
        <v>420</v>
      </c>
      <c r="B27" s="136" t="s">
        <v>443</v>
      </c>
      <c r="C27" s="261"/>
      <c r="D27" s="226"/>
    </row>
    <row r="28" spans="1:4" x14ac:dyDescent="0.3">
      <c r="A28" s="226" t="s">
        <v>382</v>
      </c>
      <c r="B28" s="128" t="s">
        <v>424</v>
      </c>
      <c r="C28" s="230"/>
      <c r="D28" s="226"/>
    </row>
    <row r="29" spans="1:4" x14ac:dyDescent="0.3">
      <c r="A29" s="226" t="s">
        <v>383</v>
      </c>
      <c r="B29" s="136" t="s">
        <v>425</v>
      </c>
      <c r="C29" s="261"/>
      <c r="D29" s="226"/>
    </row>
    <row r="30" spans="1:4" x14ac:dyDescent="0.3">
      <c r="A30" s="226" t="s">
        <v>384</v>
      </c>
      <c r="B30" s="136" t="s">
        <v>426</v>
      </c>
      <c r="C30" s="261"/>
      <c r="D30" s="226"/>
    </row>
    <row r="31" spans="1:4" x14ac:dyDescent="0.3">
      <c r="A31" s="226" t="s">
        <v>385</v>
      </c>
      <c r="B31" s="136" t="s">
        <v>427</v>
      </c>
      <c r="C31" s="261"/>
      <c r="D31" s="226"/>
    </row>
    <row r="32" spans="1:4" x14ac:dyDescent="0.3">
      <c r="A32" s="226" t="s">
        <v>366</v>
      </c>
      <c r="B32" s="136" t="s">
        <v>428</v>
      </c>
      <c r="C32" s="261"/>
      <c r="D32" s="226"/>
    </row>
    <row r="33" spans="1:4" ht="13.8" customHeight="1" x14ac:dyDescent="0.3">
      <c r="A33" s="226" t="s">
        <v>386</v>
      </c>
      <c r="B33" s="136" t="s">
        <v>429</v>
      </c>
      <c r="C33" s="261"/>
      <c r="D33" s="226"/>
    </row>
    <row r="34" spans="1:4" x14ac:dyDescent="0.3">
      <c r="A34" s="226" t="s">
        <v>387</v>
      </c>
      <c r="B34" s="136" t="s">
        <v>430</v>
      </c>
      <c r="C34" s="261"/>
      <c r="D34" s="226"/>
    </row>
    <row r="35" spans="1:4" x14ac:dyDescent="0.3">
      <c r="A35" s="226" t="s">
        <v>423</v>
      </c>
      <c r="B35" s="136" t="s">
        <v>422</v>
      </c>
      <c r="C35" s="261"/>
      <c r="D35" s="226"/>
    </row>
    <row r="36" spans="1:4" ht="18" x14ac:dyDescent="0.35">
      <c r="A36" s="273" t="s">
        <v>388</v>
      </c>
      <c r="B36" s="273" t="s">
        <v>400</v>
      </c>
      <c r="C36" s="268" t="s">
        <v>62</v>
      </c>
      <c r="D36" s="273" t="s">
        <v>393</v>
      </c>
    </row>
    <row r="37" spans="1:4" x14ac:dyDescent="0.3">
      <c r="A37" s="272" t="s">
        <v>391</v>
      </c>
      <c r="B37" s="272"/>
      <c r="C37" s="269"/>
      <c r="D37" s="227"/>
    </row>
    <row r="38" spans="1:4" x14ac:dyDescent="0.3">
      <c r="A38" s="226" t="s">
        <v>468</v>
      </c>
      <c r="B38" s="136" t="s">
        <v>431</v>
      </c>
      <c r="C38" s="261"/>
      <c r="D38" s="226"/>
    </row>
    <row r="39" spans="1:4" x14ac:dyDescent="0.3">
      <c r="A39" s="226" t="s">
        <v>392</v>
      </c>
      <c r="B39" s="278" t="s">
        <v>432</v>
      </c>
      <c r="C39" s="230"/>
      <c r="D39" s="226"/>
    </row>
    <row r="40" spans="1:4" x14ac:dyDescent="0.3">
      <c r="A40" s="226" t="s">
        <v>394</v>
      </c>
      <c r="B40" s="136" t="s">
        <v>433</v>
      </c>
      <c r="C40" s="261"/>
      <c r="D40" s="226"/>
    </row>
    <row r="41" spans="1:4" x14ac:dyDescent="0.3">
      <c r="A41" s="226" t="s">
        <v>395</v>
      </c>
      <c r="B41" s="136" t="s">
        <v>434</v>
      </c>
      <c r="C41" s="261"/>
      <c r="D41" s="226"/>
    </row>
    <row r="42" spans="1:4" x14ac:dyDescent="0.3">
      <c r="A42" s="226" t="s">
        <v>396</v>
      </c>
      <c r="B42" s="136" t="s">
        <v>435</v>
      </c>
      <c r="C42" s="261"/>
      <c r="D42" s="226"/>
    </row>
    <row r="43" spans="1:4" x14ac:dyDescent="0.3">
      <c r="A43" s="226" t="s">
        <v>397</v>
      </c>
      <c r="B43" s="136" t="s">
        <v>436</v>
      </c>
      <c r="C43" s="261"/>
      <c r="D43" s="226"/>
    </row>
    <row r="44" spans="1:4" x14ac:dyDescent="0.3">
      <c r="A44" s="226" t="s">
        <v>398</v>
      </c>
      <c r="B44" s="136" t="s">
        <v>437</v>
      </c>
      <c r="C44" s="261"/>
      <c r="D44" s="226"/>
    </row>
    <row r="45" spans="1:4" ht="13.8" customHeight="1" x14ac:dyDescent="0.3">
      <c r="A45" s="226" t="s">
        <v>399</v>
      </c>
      <c r="B45" s="136" t="s">
        <v>438</v>
      </c>
      <c r="C45" s="261"/>
      <c r="D45" s="226"/>
    </row>
    <row r="46" spans="1:4" x14ac:dyDescent="0.3">
      <c r="A46" s="226" t="s">
        <v>467</v>
      </c>
      <c r="B46" s="136" t="s">
        <v>439</v>
      </c>
      <c r="C46" s="261"/>
      <c r="D46" s="226"/>
    </row>
    <row r="47" spans="1:4" ht="15" customHeight="1" x14ac:dyDescent="0.35">
      <c r="A47" s="257" t="s">
        <v>112</v>
      </c>
      <c r="B47" s="273" t="s">
        <v>401</v>
      </c>
      <c r="C47" s="263" t="s">
        <v>62</v>
      </c>
      <c r="D47" s="258" t="s">
        <v>58</v>
      </c>
    </row>
    <row r="48" spans="1:4" ht="47.25" customHeight="1" x14ac:dyDescent="0.3">
      <c r="A48" s="227" t="s">
        <v>114</v>
      </c>
      <c r="B48" s="279"/>
      <c r="C48" s="264" t="s">
        <v>115</v>
      </c>
      <c r="D48" s="256" t="s">
        <v>380</v>
      </c>
    </row>
    <row r="49" spans="1:4" ht="15" customHeight="1" x14ac:dyDescent="0.3">
      <c r="A49" s="223" t="s">
        <v>367</v>
      </c>
      <c r="B49" s="276"/>
      <c r="C49" s="267"/>
      <c r="D49" s="223"/>
    </row>
    <row r="50" spans="1:4" ht="15" customHeight="1" x14ac:dyDescent="0.3">
      <c r="A50" s="223" t="s">
        <v>456</v>
      </c>
      <c r="B50" s="280"/>
      <c r="C50" s="267"/>
      <c r="D50" s="223"/>
    </row>
    <row r="51" spans="1:4" ht="15" customHeight="1" x14ac:dyDescent="0.3">
      <c r="A51" s="223" t="s">
        <v>458</v>
      </c>
      <c r="B51" s="280"/>
      <c r="C51" s="267"/>
      <c r="D51" s="223"/>
    </row>
    <row r="52" spans="1:4" ht="15" customHeight="1" x14ac:dyDescent="0.3">
      <c r="A52" s="223" t="s">
        <v>459</v>
      </c>
      <c r="B52" s="280"/>
      <c r="C52" s="267"/>
      <c r="D52" s="223"/>
    </row>
    <row r="53" spans="1:4" ht="15" customHeight="1" x14ac:dyDescent="0.3">
      <c r="A53" s="223" t="s">
        <v>460</v>
      </c>
      <c r="B53" s="280"/>
      <c r="C53" s="267"/>
      <c r="D53" s="223"/>
    </row>
    <row r="54" spans="1:4" ht="15" customHeight="1" x14ac:dyDescent="0.3">
      <c r="A54" s="223" t="s">
        <v>461</v>
      </c>
      <c r="B54" s="280"/>
      <c r="C54" s="267"/>
      <c r="D54" s="223"/>
    </row>
    <row r="55" spans="1:4" ht="15" customHeight="1" x14ac:dyDescent="0.3">
      <c r="A55" s="223" t="s">
        <v>462</v>
      </c>
      <c r="B55" s="280"/>
      <c r="C55" s="267"/>
      <c r="D55" s="223"/>
    </row>
    <row r="56" spans="1:4" ht="15" customHeight="1" x14ac:dyDescent="0.3">
      <c r="A56" s="223" t="s">
        <v>465</v>
      </c>
      <c r="B56" s="280"/>
      <c r="C56" s="267"/>
      <c r="D56" s="223"/>
    </row>
    <row r="57" spans="1:4" ht="15" customHeight="1" x14ac:dyDescent="0.3">
      <c r="A57" s="223" t="s">
        <v>463</v>
      </c>
      <c r="B57" s="280"/>
      <c r="C57" s="267"/>
      <c r="D57" s="223"/>
    </row>
    <row r="58" spans="1:4" ht="15" customHeight="1" x14ac:dyDescent="0.3">
      <c r="A58" s="223" t="s">
        <v>464</v>
      </c>
      <c r="B58" s="280"/>
      <c r="C58" s="267"/>
      <c r="D58" s="223"/>
    </row>
    <row r="59" spans="1:4" ht="15" customHeight="1" x14ac:dyDescent="0.3">
      <c r="A59" s="226" t="s">
        <v>457</v>
      </c>
      <c r="B59" s="136"/>
      <c r="C59" s="267"/>
      <c r="D59" s="223"/>
    </row>
    <row r="60" spans="1:4" ht="15" customHeight="1" x14ac:dyDescent="0.3">
      <c r="A60" s="226" t="s">
        <v>373</v>
      </c>
      <c r="B60" s="136"/>
      <c r="C60" s="267"/>
      <c r="D60" s="223"/>
    </row>
    <row r="61" spans="1:4" ht="15" customHeight="1" x14ac:dyDescent="0.3">
      <c r="A61" s="223" t="s">
        <v>116</v>
      </c>
      <c r="B61" s="276"/>
      <c r="C61" s="267"/>
      <c r="D61" s="223"/>
    </row>
    <row r="62" spans="1:4" ht="15" customHeight="1" x14ac:dyDescent="0.3">
      <c r="A62" s="223" t="s">
        <v>121</v>
      </c>
      <c r="B62" s="276"/>
      <c r="C62" s="267"/>
      <c r="D62" s="223"/>
    </row>
    <row r="63" spans="1:4" ht="15" customHeight="1" x14ac:dyDescent="0.3">
      <c r="A63" s="223" t="s">
        <v>374</v>
      </c>
      <c r="B63" s="276"/>
      <c r="C63" s="267"/>
      <c r="D63" s="223"/>
    </row>
    <row r="64" spans="1:4" ht="15" customHeight="1" x14ac:dyDescent="0.3">
      <c r="A64" s="226" t="s">
        <v>375</v>
      </c>
      <c r="B64" s="136"/>
      <c r="C64" s="267"/>
      <c r="D64" s="223"/>
    </row>
    <row r="65" spans="1:4" ht="15" customHeight="1" x14ac:dyDescent="0.3">
      <c r="A65" s="226" t="s">
        <v>131</v>
      </c>
      <c r="B65" s="136"/>
      <c r="C65" s="265"/>
      <c r="D65" s="228"/>
    </row>
    <row r="66" spans="1:4" ht="15" customHeight="1" x14ac:dyDescent="0.3">
      <c r="A66" s="226" t="s">
        <v>133</v>
      </c>
      <c r="B66" s="136"/>
      <c r="C66" s="265"/>
      <c r="D66" s="228"/>
    </row>
    <row r="67" spans="1:4" ht="15" customHeight="1" x14ac:dyDescent="0.3">
      <c r="A67" s="226" t="s">
        <v>136</v>
      </c>
      <c r="B67" s="136"/>
      <c r="C67" s="265"/>
      <c r="D67" s="228"/>
    </row>
    <row r="68" spans="1:4" ht="15" customHeight="1" x14ac:dyDescent="0.3">
      <c r="A68" s="226" t="s">
        <v>140</v>
      </c>
      <c r="B68" s="136"/>
      <c r="C68" s="265"/>
      <c r="D68" s="228"/>
    </row>
    <row r="69" spans="1:4" ht="15" customHeight="1" x14ac:dyDescent="0.3">
      <c r="A69" s="226" t="s">
        <v>141</v>
      </c>
      <c r="B69" s="136"/>
      <c r="C69" s="265"/>
      <c r="D69" s="228"/>
    </row>
    <row r="70" spans="1:4" ht="15" customHeight="1" x14ac:dyDescent="0.3">
      <c r="A70" s="223" t="s">
        <v>368</v>
      </c>
      <c r="B70" s="136"/>
      <c r="C70" s="265"/>
      <c r="D70" s="228"/>
    </row>
    <row r="71" spans="1:4" ht="15" customHeight="1" x14ac:dyDescent="0.3">
      <c r="A71" s="226" t="s">
        <v>369</v>
      </c>
      <c r="B71" s="136"/>
      <c r="C71" s="261"/>
      <c r="D71" s="95"/>
    </row>
    <row r="72" spans="1:4" ht="15" customHeight="1" x14ac:dyDescent="0.3">
      <c r="A72" s="226" t="s">
        <v>370</v>
      </c>
      <c r="B72" s="136"/>
      <c r="C72" s="261"/>
      <c r="D72" s="95"/>
    </row>
    <row r="73" spans="1:4" ht="15" customHeight="1" x14ac:dyDescent="0.3">
      <c r="A73" s="226" t="s">
        <v>371</v>
      </c>
      <c r="B73" s="136"/>
      <c r="C73" s="261"/>
      <c r="D73" s="95"/>
    </row>
    <row r="74" spans="1:4" ht="15" customHeight="1" x14ac:dyDescent="0.3">
      <c r="A74" s="226" t="s">
        <v>372</v>
      </c>
      <c r="B74" s="136"/>
      <c r="C74" s="261"/>
      <c r="D74" s="95"/>
    </row>
    <row r="75" spans="1:4" ht="15" customHeight="1" x14ac:dyDescent="0.3">
      <c r="A75" s="226" t="s">
        <v>376</v>
      </c>
      <c r="B75" s="136"/>
      <c r="C75" s="261"/>
      <c r="D75" s="95"/>
    </row>
    <row r="76" spans="1:4" ht="15" customHeight="1" x14ac:dyDescent="0.3">
      <c r="A76" s="226" t="s">
        <v>377</v>
      </c>
      <c r="B76" s="136"/>
      <c r="C76" s="261"/>
      <c r="D76" s="95"/>
    </row>
    <row r="77" spans="1:4" ht="15" customHeight="1" x14ac:dyDescent="0.3">
      <c r="A77" s="226" t="s">
        <v>378</v>
      </c>
      <c r="B77" s="136"/>
      <c r="C77" s="261"/>
      <c r="D77" s="95"/>
    </row>
    <row r="78" spans="1:4" ht="15" customHeight="1" x14ac:dyDescent="0.3">
      <c r="A78" s="226" t="s">
        <v>379</v>
      </c>
      <c r="B78" s="136"/>
      <c r="C78" s="261"/>
      <c r="D78" s="95"/>
    </row>
    <row r="79" spans="1:4" ht="15" customHeight="1" x14ac:dyDescent="0.3">
      <c r="A79" s="223" t="s">
        <v>117</v>
      </c>
      <c r="B79" s="136"/>
      <c r="C79" s="261"/>
      <c r="D79" s="95"/>
    </row>
    <row r="80" spans="1:4" ht="15" customHeight="1" x14ac:dyDescent="0.3">
      <c r="A80" s="223" t="s">
        <v>118</v>
      </c>
      <c r="B80" s="136"/>
      <c r="C80" s="261"/>
      <c r="D80" s="95"/>
    </row>
    <row r="81" spans="1:4" ht="15" customHeight="1" x14ac:dyDescent="0.3">
      <c r="A81" s="223" t="s">
        <v>119</v>
      </c>
      <c r="B81" s="136"/>
      <c r="C81" s="261"/>
      <c r="D81" s="95"/>
    </row>
    <row r="82" spans="1:4" ht="15" customHeight="1" x14ac:dyDescent="0.3">
      <c r="A82" s="223" t="s">
        <v>120</v>
      </c>
      <c r="B82" s="136"/>
      <c r="C82" s="261"/>
      <c r="D82" s="95"/>
    </row>
    <row r="83" spans="1:4" ht="15" customHeight="1" x14ac:dyDescent="0.3">
      <c r="A83" s="223" t="s">
        <v>122</v>
      </c>
      <c r="B83" s="136"/>
      <c r="C83" s="261"/>
      <c r="D83" s="95"/>
    </row>
    <row r="84" spans="1:4" ht="15" customHeight="1" x14ac:dyDescent="0.3">
      <c r="A84" s="223" t="s">
        <v>123</v>
      </c>
      <c r="B84" s="136"/>
      <c r="C84" s="261"/>
      <c r="D84" s="95"/>
    </row>
    <row r="85" spans="1:4" ht="15" customHeight="1" x14ac:dyDescent="0.3">
      <c r="A85" s="223" t="s">
        <v>124</v>
      </c>
      <c r="B85" s="136"/>
      <c r="C85" s="261"/>
      <c r="D85" s="95"/>
    </row>
    <row r="86" spans="1:4" ht="15" customHeight="1" x14ac:dyDescent="0.3">
      <c r="A86" s="223" t="s">
        <v>125</v>
      </c>
      <c r="B86" s="136"/>
      <c r="C86" s="261"/>
      <c r="D86" s="95"/>
    </row>
    <row r="87" spans="1:4" ht="15" customHeight="1" x14ac:dyDescent="0.3">
      <c r="A87" s="223" t="s">
        <v>126</v>
      </c>
      <c r="B87" s="136"/>
      <c r="C87" s="261"/>
      <c r="D87" s="95"/>
    </row>
    <row r="88" spans="1:4" ht="15" customHeight="1" x14ac:dyDescent="0.3">
      <c r="A88" s="223" t="s">
        <v>127</v>
      </c>
      <c r="B88" s="136"/>
      <c r="C88" s="261"/>
      <c r="D88" s="95"/>
    </row>
    <row r="89" spans="1:4" ht="15" customHeight="1" x14ac:dyDescent="0.3">
      <c r="A89" s="226" t="s">
        <v>128</v>
      </c>
      <c r="B89" s="136"/>
      <c r="C89" s="261"/>
      <c r="D89" s="95"/>
    </row>
    <row r="90" spans="1:4" ht="15" customHeight="1" x14ac:dyDescent="0.3">
      <c r="A90" s="226" t="s">
        <v>129</v>
      </c>
      <c r="B90" s="136"/>
      <c r="C90" s="261"/>
      <c r="D90" s="95"/>
    </row>
    <row r="91" spans="1:4" ht="15" customHeight="1" x14ac:dyDescent="0.3">
      <c r="A91" s="226" t="s">
        <v>132</v>
      </c>
      <c r="B91" s="136"/>
      <c r="C91" s="261"/>
      <c r="D91" s="95"/>
    </row>
    <row r="92" spans="1:4" ht="15" customHeight="1" x14ac:dyDescent="0.3">
      <c r="A92" s="226" t="s">
        <v>134</v>
      </c>
      <c r="B92" s="136"/>
      <c r="C92" s="261"/>
      <c r="D92" s="95"/>
    </row>
    <row r="93" spans="1:4" ht="15" customHeight="1" x14ac:dyDescent="0.3">
      <c r="A93" s="226" t="s">
        <v>137</v>
      </c>
      <c r="B93" s="136"/>
      <c r="C93" s="261"/>
      <c r="D93" s="95"/>
    </row>
    <row r="94" spans="1:4" ht="15" customHeight="1" x14ac:dyDescent="0.3">
      <c r="A94" s="226" t="s">
        <v>138</v>
      </c>
      <c r="B94" s="136"/>
      <c r="C94" s="261"/>
      <c r="D94" s="95"/>
    </row>
    <row r="95" spans="1:4" ht="15" customHeight="1" x14ac:dyDescent="0.3">
      <c r="A95" s="226" t="s">
        <v>139</v>
      </c>
      <c r="B95" s="136"/>
      <c r="C95" s="261"/>
      <c r="D95" s="95"/>
    </row>
    <row r="96" spans="1:4" x14ac:dyDescent="0.3">
      <c r="A96" s="226" t="s">
        <v>130</v>
      </c>
      <c r="B96" s="136"/>
      <c r="C96" s="261"/>
      <c r="D96" s="95"/>
    </row>
  </sheetData>
  <mergeCells count="3">
    <mergeCell ref="C1:D1"/>
    <mergeCell ref="C2:D2"/>
    <mergeCell ref="C3:D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4BE0F-8A0C-4135-A4AC-80B9A87EEB71}">
  <dimension ref="A1:S29"/>
  <sheetViews>
    <sheetView topLeftCell="N1" zoomScaleNormal="100" workbookViewId="0">
      <selection activeCell="T25" sqref="T25"/>
    </sheetView>
  </sheetViews>
  <sheetFormatPr defaultRowHeight="14.4" x14ac:dyDescent="0.3"/>
  <cols>
    <col min="1" max="1" width="31.33203125" customWidth="1"/>
    <col min="2" max="2" width="100.44140625" customWidth="1"/>
    <col min="3" max="3" width="29.88671875" customWidth="1"/>
    <col min="4" max="4" width="28.109375" customWidth="1"/>
    <col min="5" max="5" width="33.6640625" customWidth="1"/>
    <col min="6" max="6" width="38.88671875" customWidth="1"/>
    <col min="7" max="7" width="19.6640625" customWidth="1"/>
    <col min="8" max="8" width="23.88671875" customWidth="1"/>
    <col min="9" max="9" width="92.44140625" customWidth="1"/>
    <col min="10" max="10" width="27.44140625" style="230" customWidth="1"/>
    <col min="11" max="11" width="127.109375" customWidth="1"/>
    <col min="12" max="12" width="69.88671875" customWidth="1"/>
    <col min="13" max="13" width="42.88671875" customWidth="1"/>
    <col min="14" max="14" width="151.33203125" customWidth="1"/>
  </cols>
  <sheetData>
    <row r="1" spans="1:19" x14ac:dyDescent="0.3">
      <c r="A1" s="239" t="s">
        <v>455</v>
      </c>
      <c r="B1" s="240" t="s">
        <v>48</v>
      </c>
      <c r="C1" s="240" t="s">
        <v>449</v>
      </c>
      <c r="D1" s="240" t="s">
        <v>142</v>
      </c>
      <c r="E1" s="240" t="s">
        <v>143</v>
      </c>
      <c r="F1" s="240" t="s">
        <v>144</v>
      </c>
      <c r="G1" s="240" t="s">
        <v>145</v>
      </c>
      <c r="H1" s="240" t="s">
        <v>113</v>
      </c>
      <c r="I1" s="240" t="s">
        <v>146</v>
      </c>
      <c r="J1" s="240" t="s">
        <v>147</v>
      </c>
      <c r="K1" s="240" t="s">
        <v>148</v>
      </c>
      <c r="L1" s="241" t="s">
        <v>149</v>
      </c>
      <c r="M1" s="241" t="s">
        <v>150</v>
      </c>
      <c r="N1" s="241" t="s">
        <v>151</v>
      </c>
      <c r="O1" s="241"/>
      <c r="P1" s="241"/>
      <c r="Q1" s="241"/>
      <c r="R1" s="241"/>
      <c r="S1" s="252"/>
    </row>
    <row r="2" spans="1:19" x14ac:dyDescent="0.3">
      <c r="A2" s="242" t="s">
        <v>152</v>
      </c>
      <c r="B2" s="242" t="s">
        <v>153</v>
      </c>
      <c r="C2" s="242" t="s">
        <v>154</v>
      </c>
      <c r="D2" s="242" t="s">
        <v>155</v>
      </c>
      <c r="E2" s="242" t="s">
        <v>156</v>
      </c>
      <c r="F2" s="243" t="s">
        <v>157</v>
      </c>
      <c r="G2" s="242" t="s">
        <v>158</v>
      </c>
      <c r="H2" s="243" t="s">
        <v>159</v>
      </c>
      <c r="I2" s="242" t="s">
        <v>160</v>
      </c>
      <c r="J2" s="242"/>
      <c r="K2" s="243" t="s">
        <v>161</v>
      </c>
      <c r="L2" s="243" t="s">
        <v>162</v>
      </c>
      <c r="M2" s="243" t="s">
        <v>163</v>
      </c>
      <c r="N2" s="243" t="s">
        <v>164</v>
      </c>
      <c r="O2" s="243"/>
      <c r="P2" s="243"/>
      <c r="Q2" s="243"/>
      <c r="R2" s="243"/>
      <c r="S2" s="253"/>
    </row>
    <row r="3" spans="1:19" x14ac:dyDescent="0.3">
      <c r="A3" s="237" t="s">
        <v>116</v>
      </c>
      <c r="B3" s="230" t="s">
        <v>165</v>
      </c>
      <c r="C3" s="230" t="s">
        <v>166</v>
      </c>
      <c r="D3" s="230" t="s">
        <v>167</v>
      </c>
      <c r="E3" s="230">
        <v>886</v>
      </c>
      <c r="F3" s="244" t="s">
        <v>168</v>
      </c>
      <c r="G3" s="247" t="s">
        <v>169</v>
      </c>
      <c r="H3" t="s">
        <v>170</v>
      </c>
      <c r="I3" t="s">
        <v>171</v>
      </c>
      <c r="K3" t="s">
        <v>172</v>
      </c>
      <c r="L3" t="s">
        <v>173</v>
      </c>
      <c r="M3" s="250" t="s">
        <v>174</v>
      </c>
      <c r="N3" t="s">
        <v>175</v>
      </c>
      <c r="S3" s="254"/>
    </row>
    <row r="4" spans="1:19" x14ac:dyDescent="0.3">
      <c r="A4" s="237" t="s">
        <v>117</v>
      </c>
      <c r="B4" s="230" t="s">
        <v>176</v>
      </c>
      <c r="C4" s="230" t="s">
        <v>177</v>
      </c>
      <c r="D4" s="230" t="s">
        <v>178</v>
      </c>
      <c r="E4" s="230">
        <v>1350</v>
      </c>
      <c r="F4" s="245" t="s">
        <v>179</v>
      </c>
      <c r="G4" s="248" t="s">
        <v>180</v>
      </c>
      <c r="H4" t="s">
        <v>181</v>
      </c>
      <c r="I4" t="s">
        <v>182</v>
      </c>
      <c r="L4" t="s">
        <v>183</v>
      </c>
      <c r="M4" s="250" t="s">
        <v>184</v>
      </c>
      <c r="N4" t="s">
        <v>185</v>
      </c>
      <c r="S4" s="254"/>
    </row>
    <row r="5" spans="1:19" x14ac:dyDescent="0.3">
      <c r="A5" s="237" t="s">
        <v>118</v>
      </c>
      <c r="B5" s="230" t="s">
        <v>186</v>
      </c>
      <c r="C5" s="230" t="s">
        <v>187</v>
      </c>
      <c r="D5" s="230" t="s">
        <v>188</v>
      </c>
      <c r="E5" s="230" t="s">
        <v>189</v>
      </c>
      <c r="F5" s="245" t="s">
        <v>190</v>
      </c>
      <c r="G5" s="245"/>
      <c r="H5" t="s">
        <v>191</v>
      </c>
      <c r="I5" t="s">
        <v>192</v>
      </c>
      <c r="N5" t="s">
        <v>193</v>
      </c>
      <c r="S5" s="254"/>
    </row>
    <row r="6" spans="1:19" x14ac:dyDescent="0.3">
      <c r="A6" s="237" t="s">
        <v>119</v>
      </c>
      <c r="B6" s="230" t="s">
        <v>194</v>
      </c>
      <c r="C6" s="230" t="s">
        <v>195</v>
      </c>
      <c r="D6" s="230" t="s">
        <v>167</v>
      </c>
      <c r="E6" s="230" t="s">
        <v>196</v>
      </c>
      <c r="F6" s="245"/>
      <c r="G6" s="245"/>
      <c r="H6" t="s">
        <v>197</v>
      </c>
      <c r="I6" t="s">
        <v>198</v>
      </c>
      <c r="K6" t="s">
        <v>199</v>
      </c>
      <c r="L6" t="s">
        <v>200</v>
      </c>
      <c r="M6" s="250" t="s">
        <v>184</v>
      </c>
      <c r="N6" t="s">
        <v>201</v>
      </c>
      <c r="S6" s="254"/>
    </row>
    <row r="7" spans="1:19" x14ac:dyDescent="0.3">
      <c r="A7" s="237" t="s">
        <v>120</v>
      </c>
      <c r="B7" s="230" t="s">
        <v>202</v>
      </c>
      <c r="C7" s="230" t="s">
        <v>195</v>
      </c>
      <c r="D7" s="230" t="s">
        <v>167</v>
      </c>
      <c r="E7" s="230" t="s">
        <v>203</v>
      </c>
      <c r="F7" s="245"/>
      <c r="G7" s="245"/>
      <c r="H7" t="s">
        <v>197</v>
      </c>
      <c r="I7" t="s">
        <v>204</v>
      </c>
      <c r="K7" t="s">
        <v>199</v>
      </c>
      <c r="L7" t="s">
        <v>205</v>
      </c>
      <c r="M7" s="250" t="s">
        <v>206</v>
      </c>
      <c r="N7" t="s">
        <v>207</v>
      </c>
      <c r="S7" s="254"/>
    </row>
    <row r="8" spans="1:19" x14ac:dyDescent="0.3">
      <c r="A8" s="237" t="s">
        <v>121</v>
      </c>
      <c r="B8" s="230" t="s">
        <v>208</v>
      </c>
      <c r="C8" s="230" t="s">
        <v>209</v>
      </c>
      <c r="D8" s="230" t="s">
        <v>210</v>
      </c>
      <c r="E8" s="230" t="s">
        <v>211</v>
      </c>
      <c r="F8" s="245"/>
      <c r="G8" s="245"/>
      <c r="H8" t="s">
        <v>212</v>
      </c>
      <c r="I8" s="230" t="s">
        <v>213</v>
      </c>
      <c r="J8" s="230">
        <v>331</v>
      </c>
      <c r="K8" t="s">
        <v>214</v>
      </c>
      <c r="L8" t="s">
        <v>215</v>
      </c>
      <c r="M8" s="250" t="s">
        <v>206</v>
      </c>
      <c r="N8" t="s">
        <v>216</v>
      </c>
      <c r="S8" s="254"/>
    </row>
    <row r="9" spans="1:19" x14ac:dyDescent="0.3">
      <c r="A9" s="237" t="s">
        <v>122</v>
      </c>
      <c r="B9" s="230" t="s">
        <v>217</v>
      </c>
      <c r="C9" s="230" t="s">
        <v>218</v>
      </c>
      <c r="D9" s="230" t="s">
        <v>219</v>
      </c>
      <c r="E9" s="230" t="s">
        <v>220</v>
      </c>
      <c r="F9" s="245"/>
      <c r="G9" s="245"/>
      <c r="H9" t="s">
        <v>221</v>
      </c>
      <c r="I9" t="s">
        <v>222</v>
      </c>
      <c r="L9" t="s">
        <v>223</v>
      </c>
      <c r="M9" s="250" t="s">
        <v>224</v>
      </c>
      <c r="N9" t="s">
        <v>225</v>
      </c>
      <c r="S9" s="254"/>
    </row>
    <row r="10" spans="1:19" ht="15" customHeight="1" x14ac:dyDescent="0.3">
      <c r="A10" s="237" t="s">
        <v>123</v>
      </c>
      <c r="B10" s="230" t="s">
        <v>226</v>
      </c>
      <c r="C10" s="230" t="s">
        <v>227</v>
      </c>
      <c r="D10" s="230" t="s">
        <v>228</v>
      </c>
      <c r="E10" s="230">
        <v>1200</v>
      </c>
      <c r="F10" s="245"/>
      <c r="G10" s="245"/>
      <c r="H10" t="s">
        <v>181</v>
      </c>
      <c r="I10" s="249" t="s">
        <v>229</v>
      </c>
      <c r="J10" s="236"/>
      <c r="N10" t="s">
        <v>230</v>
      </c>
      <c r="S10" s="254"/>
    </row>
    <row r="11" spans="1:19" x14ac:dyDescent="0.3">
      <c r="A11" s="237" t="s">
        <v>124</v>
      </c>
      <c r="B11" s="230" t="s">
        <v>231</v>
      </c>
      <c r="C11" s="230" t="s">
        <v>232</v>
      </c>
      <c r="D11" s="230" t="s">
        <v>233</v>
      </c>
      <c r="E11" s="230" t="s">
        <v>234</v>
      </c>
      <c r="F11" s="245"/>
      <c r="G11" s="245"/>
      <c r="H11" t="s">
        <v>181</v>
      </c>
      <c r="I11" t="s">
        <v>235</v>
      </c>
      <c r="N11" t="s">
        <v>236</v>
      </c>
      <c r="S11" s="254"/>
    </row>
    <row r="12" spans="1:19" x14ac:dyDescent="0.3">
      <c r="A12" s="237" t="s">
        <v>125</v>
      </c>
      <c r="B12" s="230" t="s">
        <v>237</v>
      </c>
      <c r="C12" s="230" t="s">
        <v>238</v>
      </c>
      <c r="D12" s="230" t="s">
        <v>239</v>
      </c>
      <c r="E12" s="230">
        <v>1140</v>
      </c>
      <c r="F12" s="245" t="s">
        <v>240</v>
      </c>
      <c r="G12" s="245"/>
      <c r="H12" t="s">
        <v>241</v>
      </c>
      <c r="I12" s="230" t="s">
        <v>242</v>
      </c>
      <c r="N12" t="s">
        <v>243</v>
      </c>
      <c r="S12" s="254"/>
    </row>
    <row r="13" spans="1:19" ht="15" customHeight="1" x14ac:dyDescent="0.3">
      <c r="A13" s="237" t="s">
        <v>126</v>
      </c>
      <c r="B13" s="230" t="s">
        <v>244</v>
      </c>
      <c r="C13" s="230" t="s">
        <v>245</v>
      </c>
      <c r="D13" s="230" t="s">
        <v>246</v>
      </c>
      <c r="E13" s="230" t="s">
        <v>247</v>
      </c>
      <c r="F13" s="244" t="s">
        <v>248</v>
      </c>
      <c r="G13" s="244"/>
      <c r="H13" t="s">
        <v>249</v>
      </c>
      <c r="I13" s="249" t="s">
        <v>250</v>
      </c>
      <c r="J13" s="236"/>
      <c r="N13" t="s">
        <v>251</v>
      </c>
      <c r="S13" s="254"/>
    </row>
    <row r="14" spans="1:19" x14ac:dyDescent="0.3">
      <c r="A14" s="237" t="s">
        <v>127</v>
      </c>
      <c r="B14" s="230" t="s">
        <v>252</v>
      </c>
      <c r="C14" s="230" t="s">
        <v>253</v>
      </c>
      <c r="D14" s="230" t="s">
        <v>254</v>
      </c>
      <c r="E14" s="230"/>
      <c r="F14" s="230"/>
      <c r="G14" s="230"/>
      <c r="H14" t="s">
        <v>255</v>
      </c>
      <c r="I14" s="230" t="s">
        <v>256</v>
      </c>
      <c r="N14" t="s">
        <v>257</v>
      </c>
      <c r="S14" s="254"/>
    </row>
    <row r="15" spans="1:19" x14ac:dyDescent="0.3">
      <c r="A15" s="232" t="s">
        <v>128</v>
      </c>
      <c r="B15" s="230" t="s">
        <v>258</v>
      </c>
      <c r="C15" s="230" t="s">
        <v>259</v>
      </c>
      <c r="D15" s="230" t="s">
        <v>260</v>
      </c>
      <c r="E15" s="235"/>
      <c r="F15" s="230"/>
      <c r="G15" s="230"/>
      <c r="H15" t="s">
        <v>261</v>
      </c>
      <c r="I15" t="s">
        <v>262</v>
      </c>
      <c r="J15" s="230" t="s">
        <v>263</v>
      </c>
      <c r="K15" t="s">
        <v>264</v>
      </c>
      <c r="N15" t="s">
        <v>265</v>
      </c>
      <c r="S15" s="254"/>
    </row>
    <row r="16" spans="1:19" x14ac:dyDescent="0.3">
      <c r="A16" s="232" t="s">
        <v>129</v>
      </c>
      <c r="B16" s="230" t="s">
        <v>266</v>
      </c>
      <c r="C16" s="230" t="s">
        <v>267</v>
      </c>
      <c r="D16" s="230" t="s">
        <v>268</v>
      </c>
      <c r="E16" s="230" t="s">
        <v>269</v>
      </c>
      <c r="F16" s="230"/>
      <c r="G16" s="230"/>
      <c r="H16" t="s">
        <v>270</v>
      </c>
      <c r="I16" t="s">
        <v>271</v>
      </c>
      <c r="K16" t="s">
        <v>272</v>
      </c>
      <c r="N16" t="s">
        <v>273</v>
      </c>
      <c r="S16" s="254"/>
    </row>
    <row r="17" spans="1:19" ht="15" customHeight="1" x14ac:dyDescent="0.3">
      <c r="A17" s="232" t="s">
        <v>130</v>
      </c>
      <c r="B17" s="230" t="s">
        <v>274</v>
      </c>
      <c r="C17" s="230" t="s">
        <v>177</v>
      </c>
      <c r="D17" s="230" t="s">
        <v>178</v>
      </c>
      <c r="E17" s="230" t="s">
        <v>269</v>
      </c>
      <c r="F17" s="230"/>
      <c r="G17" s="230"/>
      <c r="H17" t="s">
        <v>275</v>
      </c>
      <c r="I17" s="249" t="s">
        <v>276</v>
      </c>
      <c r="J17" s="236" t="s">
        <v>277</v>
      </c>
      <c r="K17" t="s">
        <v>272</v>
      </c>
      <c r="N17" t="s">
        <v>278</v>
      </c>
      <c r="S17" s="254"/>
    </row>
    <row r="18" spans="1:19" x14ac:dyDescent="0.3">
      <c r="A18" s="232" t="s">
        <v>131</v>
      </c>
      <c r="B18" s="230" t="s">
        <v>279</v>
      </c>
      <c r="C18" s="230" t="s">
        <v>177</v>
      </c>
      <c r="D18" s="230" t="s">
        <v>280</v>
      </c>
      <c r="E18" s="230" t="s">
        <v>269</v>
      </c>
      <c r="F18" s="230"/>
      <c r="G18" s="230"/>
      <c r="H18" t="s">
        <v>281</v>
      </c>
      <c r="I18" t="s">
        <v>282</v>
      </c>
      <c r="K18" t="s">
        <v>283</v>
      </c>
      <c r="N18" t="s">
        <v>284</v>
      </c>
      <c r="S18" s="254"/>
    </row>
    <row r="19" spans="1:19" x14ac:dyDescent="0.3">
      <c r="A19" s="232" t="s">
        <v>132</v>
      </c>
      <c r="B19" s="230" t="s">
        <v>285</v>
      </c>
      <c r="C19" s="230" t="s">
        <v>245</v>
      </c>
      <c r="D19" s="230" t="s">
        <v>286</v>
      </c>
      <c r="E19" s="230" t="s">
        <v>287</v>
      </c>
      <c r="F19" s="230"/>
      <c r="G19" s="230"/>
      <c r="H19" t="s">
        <v>288</v>
      </c>
      <c r="I19" t="s">
        <v>289</v>
      </c>
      <c r="J19" s="230">
        <v>365</v>
      </c>
      <c r="K19" t="s">
        <v>290</v>
      </c>
      <c r="N19" t="s">
        <v>291</v>
      </c>
      <c r="S19" s="254"/>
    </row>
    <row r="20" spans="1:19" ht="15" customHeight="1" x14ac:dyDescent="0.3">
      <c r="A20" s="232" t="s">
        <v>133</v>
      </c>
      <c r="B20" s="230" t="s">
        <v>292</v>
      </c>
      <c r="C20" s="230" t="s">
        <v>293</v>
      </c>
      <c r="D20" s="230" t="s">
        <v>294</v>
      </c>
      <c r="E20" s="230"/>
      <c r="F20" s="230"/>
      <c r="G20" s="230"/>
      <c r="H20" t="s">
        <v>295</v>
      </c>
      <c r="I20" s="249" t="s">
        <v>296</v>
      </c>
      <c r="J20" s="236">
        <v>550</v>
      </c>
      <c r="K20" t="s">
        <v>297</v>
      </c>
      <c r="N20" t="s">
        <v>298</v>
      </c>
      <c r="S20" s="254"/>
    </row>
    <row r="21" spans="1:19" x14ac:dyDescent="0.3">
      <c r="A21" s="232" t="s">
        <v>134</v>
      </c>
      <c r="B21" s="230" t="s">
        <v>299</v>
      </c>
      <c r="C21" s="230" t="s">
        <v>300</v>
      </c>
      <c r="D21" s="230" t="s">
        <v>301</v>
      </c>
      <c r="E21" s="230" t="s">
        <v>302</v>
      </c>
      <c r="F21" s="230"/>
      <c r="G21" s="230"/>
      <c r="H21" t="s">
        <v>303</v>
      </c>
      <c r="I21" t="s">
        <v>304</v>
      </c>
      <c r="J21" s="230">
        <v>352</v>
      </c>
      <c r="K21" t="s">
        <v>305</v>
      </c>
      <c r="N21" t="s">
        <v>306</v>
      </c>
      <c r="S21" s="254"/>
    </row>
    <row r="22" spans="1:19" ht="15" customHeight="1" x14ac:dyDescent="0.3">
      <c r="A22" s="229" t="s">
        <v>135</v>
      </c>
      <c r="B22" s="230" t="s">
        <v>307</v>
      </c>
      <c r="C22" t="s">
        <v>267</v>
      </c>
      <c r="D22" s="230" t="s">
        <v>268</v>
      </c>
      <c r="E22" s="236" t="s">
        <v>308</v>
      </c>
      <c r="F22" s="230"/>
      <c r="G22" s="230"/>
      <c r="H22" t="s">
        <v>309</v>
      </c>
      <c r="I22" s="230" t="s">
        <v>310</v>
      </c>
      <c r="J22" s="230">
        <v>420</v>
      </c>
      <c r="K22" t="s">
        <v>311</v>
      </c>
      <c r="N22" t="s">
        <v>312</v>
      </c>
      <c r="S22" s="254"/>
    </row>
    <row r="23" spans="1:19" ht="15.75" customHeight="1" x14ac:dyDescent="0.3">
      <c r="A23" s="232" t="s">
        <v>136</v>
      </c>
      <c r="B23" s="230" t="s">
        <v>313</v>
      </c>
      <c r="C23" s="230" t="s">
        <v>314</v>
      </c>
      <c r="D23" s="230" t="s">
        <v>268</v>
      </c>
      <c r="E23" s="236" t="s">
        <v>302</v>
      </c>
      <c r="F23" s="230"/>
      <c r="G23" s="230"/>
      <c r="H23" t="s">
        <v>315</v>
      </c>
      <c r="I23" t="s">
        <v>316</v>
      </c>
      <c r="K23" t="s">
        <v>272</v>
      </c>
      <c r="N23" t="s">
        <v>317</v>
      </c>
      <c r="S23" s="254"/>
    </row>
    <row r="24" spans="1:19" ht="18.75" customHeight="1" x14ac:dyDescent="0.3">
      <c r="A24" s="232" t="s">
        <v>137</v>
      </c>
      <c r="B24" s="230" t="s">
        <v>318</v>
      </c>
      <c r="C24" t="s">
        <v>267</v>
      </c>
      <c r="D24" s="246" t="s">
        <v>268</v>
      </c>
      <c r="E24" s="236" t="s">
        <v>319</v>
      </c>
      <c r="F24" s="230"/>
      <c r="G24" s="230"/>
      <c r="H24" t="s">
        <v>320</v>
      </c>
      <c r="I24" t="s">
        <v>321</v>
      </c>
      <c r="K24" t="s">
        <v>264</v>
      </c>
      <c r="N24" t="s">
        <v>322</v>
      </c>
      <c r="S24" s="254"/>
    </row>
    <row r="25" spans="1:19" ht="18" customHeight="1" x14ac:dyDescent="0.3">
      <c r="A25" s="232" t="s">
        <v>138</v>
      </c>
      <c r="B25" s="230" t="s">
        <v>323</v>
      </c>
      <c r="C25" t="s">
        <v>314</v>
      </c>
      <c r="D25" t="s">
        <v>324</v>
      </c>
      <c r="E25" s="236" t="s">
        <v>325</v>
      </c>
      <c r="F25" s="230"/>
      <c r="G25" s="230"/>
      <c r="H25" t="s">
        <v>326</v>
      </c>
      <c r="I25" t="s">
        <v>327</v>
      </c>
      <c r="K25" t="s">
        <v>297</v>
      </c>
      <c r="N25" t="s">
        <v>328</v>
      </c>
      <c r="S25" s="254"/>
    </row>
    <row r="26" spans="1:19" ht="27.75" customHeight="1" x14ac:dyDescent="0.3">
      <c r="A26" s="232" t="s">
        <v>139</v>
      </c>
      <c r="B26" s="230" t="s">
        <v>329</v>
      </c>
      <c r="C26" s="230" t="s">
        <v>330</v>
      </c>
      <c r="D26" s="230" t="s">
        <v>301</v>
      </c>
      <c r="E26" s="236" t="s">
        <v>331</v>
      </c>
      <c r="F26" s="230"/>
      <c r="G26" s="230"/>
      <c r="H26" t="s">
        <v>332</v>
      </c>
      <c r="I26" t="s">
        <v>333</v>
      </c>
      <c r="K26" t="s">
        <v>290</v>
      </c>
      <c r="N26" t="s">
        <v>334</v>
      </c>
      <c r="S26" s="254"/>
    </row>
    <row r="27" spans="1:19" ht="24.6" customHeight="1" x14ac:dyDescent="0.3">
      <c r="A27" s="229" t="s">
        <v>140</v>
      </c>
      <c r="B27" s="230" t="s">
        <v>335</v>
      </c>
      <c r="C27" s="230" t="s">
        <v>330</v>
      </c>
      <c r="D27" s="230" t="s">
        <v>301</v>
      </c>
      <c r="E27" s="236" t="s">
        <v>336</v>
      </c>
      <c r="F27" s="230"/>
      <c r="G27" s="230"/>
      <c r="H27" t="s">
        <v>337</v>
      </c>
      <c r="I27" t="s">
        <v>338</v>
      </c>
      <c r="J27" s="230">
        <v>831</v>
      </c>
      <c r="K27" t="s">
        <v>339</v>
      </c>
      <c r="N27" t="s">
        <v>340</v>
      </c>
      <c r="S27" s="254"/>
    </row>
    <row r="28" spans="1:19" ht="24.75" customHeight="1" x14ac:dyDescent="0.3">
      <c r="A28" s="229" t="s">
        <v>373</v>
      </c>
      <c r="B28" t="s">
        <v>448</v>
      </c>
      <c r="C28" s="230" t="s">
        <v>195</v>
      </c>
      <c r="D28" s="230" t="s">
        <v>450</v>
      </c>
      <c r="E28" s="236" t="s">
        <v>451</v>
      </c>
      <c r="F28" s="230"/>
      <c r="G28" s="230"/>
      <c r="H28" t="s">
        <v>452</v>
      </c>
      <c r="I28" s="230" t="s">
        <v>453</v>
      </c>
      <c r="N28" t="s">
        <v>454</v>
      </c>
      <c r="S28" s="254"/>
    </row>
    <row r="29" spans="1:19" ht="15.75" customHeight="1" thickBot="1" x14ac:dyDescent="0.35">
      <c r="A29" s="233" t="s">
        <v>141</v>
      </c>
      <c r="B29" s="234" t="s">
        <v>341</v>
      </c>
      <c r="C29" s="234" t="s">
        <v>342</v>
      </c>
      <c r="D29" s="234" t="s">
        <v>343</v>
      </c>
      <c r="E29" s="238" t="s">
        <v>344</v>
      </c>
      <c r="F29" s="234"/>
      <c r="G29" s="234"/>
      <c r="H29" s="231" t="s">
        <v>345</v>
      </c>
      <c r="I29" s="231" t="s">
        <v>346</v>
      </c>
      <c r="J29" s="234" t="s">
        <v>347</v>
      </c>
      <c r="K29" s="231" t="s">
        <v>339</v>
      </c>
      <c r="L29" s="231" t="s">
        <v>348</v>
      </c>
      <c r="M29" s="251" t="s">
        <v>349</v>
      </c>
      <c r="N29" s="231" t="s">
        <v>350</v>
      </c>
      <c r="O29" s="231"/>
      <c r="P29" s="231"/>
      <c r="Q29" s="231"/>
      <c r="R29" s="231"/>
      <c r="S29" s="255"/>
    </row>
  </sheetData>
  <hyperlinks>
    <hyperlink ref="M7" r:id="rId1" xr:uid="{DD96C811-5E24-4B04-8716-7601C4F9069C}"/>
    <hyperlink ref="M8" r:id="rId2" xr:uid="{00B2E8EA-9A7A-46E8-94DE-9EBA7AA9AB1D}"/>
    <hyperlink ref="M6" r:id="rId3" location="sec0006" xr:uid="{4DDA4104-ABB4-41D1-897F-3C233E7E80B8}"/>
    <hyperlink ref="M4" r:id="rId4" location="sec0006" xr:uid="{C66A11DF-B85C-4A43-A642-CBF7608F9D53}"/>
    <hyperlink ref="M29" r:id="rId5" xr:uid="{7C78B322-1F2C-482C-AFB2-0A317F063FC6}"/>
    <hyperlink ref="M3" r:id="rId6" xr:uid="{5743D3C2-F328-4A94-87D9-A388CB84CDD8}"/>
    <hyperlink ref="M9" r:id="rId7" xr:uid="{89A9A703-F512-4FD8-866F-31E64B6E0A69}"/>
    <hyperlink ref="F5" r:id="rId8" xr:uid="{CC33991F-129C-4815-93C2-5475E3EA0416}"/>
    <hyperlink ref="F4" r:id="rId9" xr:uid="{B5CC6838-6D1D-4833-907B-32E915B7DF77}"/>
    <hyperlink ref="F3" r:id="rId10" xr:uid="{84667C89-65C9-4AE2-A88C-8AE785191097}"/>
    <hyperlink ref="F13" r:id="rId11" xr:uid="{73519E05-D484-4862-8DBF-C674C39E90E7}"/>
    <hyperlink ref="F12" r:id="rId12" xr:uid="{73DE8448-FE26-4FDD-B52A-8A7D0610C379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938A798977AF1478E22870F7FBAC487" ma:contentTypeVersion="11" ma:contentTypeDescription="Ein neues Dokument erstellen." ma:contentTypeScope="" ma:versionID="ba58fa2355b42f64127aa3a164f52d73">
  <xsd:schema xmlns:xsd="http://www.w3.org/2001/XMLSchema" xmlns:xs="http://www.w3.org/2001/XMLSchema" xmlns:p="http://schemas.microsoft.com/office/2006/metadata/properties" xmlns:ns2="91cf6a65-7abb-478d-88cd-3f3506d5d4a7" xmlns:ns3="0c40e6f4-6aff-4beb-8b8a-2a2294c2b839" targetNamespace="http://schemas.microsoft.com/office/2006/metadata/properties" ma:root="true" ma:fieldsID="1e9e20e3141d424ff8c53112cfada219" ns2:_="" ns3:_="">
    <xsd:import namespace="91cf6a65-7abb-478d-88cd-3f3506d5d4a7"/>
    <xsd:import namespace="0c40e6f4-6aff-4beb-8b8a-2a2294c2b83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f6a65-7abb-478d-88cd-3f3506d5d4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6eb20c4f-c5c2-492b-9954-d638c64bfe9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40e6f4-6aff-4beb-8b8a-2a2294c2b83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292bdf4-bf6a-4970-8091-c23eb11ad75b}" ma:internalName="TaxCatchAll" ma:showField="CatchAllData" ma:web="0c40e6f4-6aff-4beb-8b8a-2a2294c2b83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c40e6f4-6aff-4beb-8b8a-2a2294c2b839" xsi:nil="true"/>
    <lcf76f155ced4ddcb4097134ff3c332f xmlns="91cf6a65-7abb-478d-88cd-3f3506d5d4a7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D61E873-7DF4-422B-8748-1E3770314A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1cf6a65-7abb-478d-88cd-3f3506d5d4a7"/>
    <ds:schemaRef ds:uri="0c40e6f4-6aff-4beb-8b8a-2a2294c2b83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9D382CB-1D09-4BA9-ADCC-D1511AA686D9}">
  <ds:schemaRefs>
    <ds:schemaRef ds:uri="http://schemas.microsoft.com/office/2006/metadata/properties"/>
    <ds:schemaRef ds:uri="http://schemas.microsoft.com/office/infopath/2007/PartnerControls"/>
    <ds:schemaRef ds:uri="0c40e6f4-6aff-4beb-8b8a-2a2294c2b839"/>
    <ds:schemaRef ds:uri="91cf6a65-7abb-478d-88cd-3f3506d5d4a7"/>
  </ds:schemaRefs>
</ds:datastoreItem>
</file>

<file path=customXml/itemProps3.xml><?xml version="1.0" encoding="utf-8"?>
<ds:datastoreItem xmlns:ds="http://schemas.openxmlformats.org/officeDocument/2006/customXml" ds:itemID="{85850FA3-DC62-43D3-BC5B-53CF3FECFA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 data</vt:lpstr>
      <vt:lpstr>Process</vt:lpstr>
      <vt:lpstr>MFA&amp;Material_quality_Template</vt:lpstr>
      <vt:lpstr>Material_Table</vt:lpstr>
    </vt:vector>
  </TitlesOfParts>
  <Manager/>
  <Company>Fraunhofer Gesellschaft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Dückert, Elisabeth</dc:creator>
  <cp:keywords/>
  <dc:description/>
  <cp:lastModifiedBy>Nova, Nabodita</cp:lastModifiedBy>
  <cp:revision/>
  <dcterms:created xsi:type="dcterms:W3CDTF">2016-08-18T14:22:56Z</dcterms:created>
  <dcterms:modified xsi:type="dcterms:W3CDTF">2025-11-13T20:58:54Z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0x010100C938A798977AF1478E22870F7FBAC487</vt:lpwstr>
  </property>
</Properties>
</file>